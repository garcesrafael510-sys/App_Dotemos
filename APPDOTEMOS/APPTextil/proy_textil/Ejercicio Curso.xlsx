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cristianjaviercanomogollon/Documents/4_Python_crc/proy_textil/"/>
    </mc:Choice>
  </mc:AlternateContent>
  <xr:revisionPtr revIDLastSave="0" documentId="13_ncr:1_{ABDB95FB-DD59-8D42-B1E7-D1D0CBC4B41B}" xr6:coauthVersionLast="47" xr6:coauthVersionMax="47" xr10:uidLastSave="{00000000-0000-0000-0000-000000000000}"/>
  <bookViews>
    <workbookView xWindow="0" yWindow="500" windowWidth="28800" windowHeight="16500" activeTab="1" xr2:uid="{CFCB8EE1-9EB0-4E52-AD38-E79972A62F9A}"/>
  </bookViews>
  <sheets>
    <sheet name="BALANCEO." sheetId="3" r:id="rId1"/>
    <sheet name="LISTADO PRODUCTOS" sheetId="2" r:id="rId2"/>
    <sheet name="BALANCEO-BORRADOR" sheetId="1" r:id="rId3"/>
    <sheet name="Hoja1" sheetId="4" r:id="rId4"/>
  </sheets>
  <definedNames>
    <definedName name="_xlnm._FilterDatabase" localSheetId="2" hidden="1">'BALANCEO-BORRADOR'!$A$9:$J$22</definedName>
    <definedName name="_xlnm._FilterDatabase" localSheetId="1" hidden="1">'LISTADO PRODUCTOS'!$A$1:$H$18</definedName>
  </definedNames>
  <calcPr calcId="191028"/>
  <pivotCaches>
    <pivotCache cacheId="2" r:id="rId5"/>
    <pivotCache cacheId="3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R4" i="1"/>
  <c r="Q5" i="1"/>
  <c r="Q4" i="1"/>
  <c r="R17" i="1"/>
  <c r="N17" i="1"/>
  <c r="C42" i="3"/>
  <c r="D42" i="3"/>
  <c r="O23" i="3"/>
  <c r="O29" i="3"/>
  <c r="O28" i="3"/>
  <c r="O26" i="3"/>
  <c r="O25" i="3"/>
  <c r="O24" i="3"/>
  <c r="N12" i="3"/>
  <c r="N11" i="3"/>
  <c r="M12" i="3"/>
  <c r="M11" i="3"/>
  <c r="L12" i="3"/>
  <c r="L11" i="3"/>
  <c r="H4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15" i="3"/>
  <c r="D12" i="3"/>
  <c r="G6" i="3"/>
  <c r="G7" i="3"/>
  <c r="B34" i="1"/>
  <c r="C39" i="1"/>
  <c r="C38" i="1"/>
  <c r="C37" i="1"/>
  <c r="H16" i="1"/>
  <c r="D7" i="1"/>
  <c r="D3" i="1"/>
  <c r="D4" i="1"/>
  <c r="G9" i="3"/>
  <c r="I27" i="3"/>
  <c r="O27" i="3"/>
  <c r="K2" i="3"/>
  <c r="F32" i="3"/>
  <c r="F27" i="3"/>
  <c r="F26" i="3"/>
  <c r="P26" i="3"/>
  <c r="F24" i="3"/>
  <c r="P24" i="3"/>
  <c r="F19" i="3"/>
  <c r="F18" i="3"/>
  <c r="H18" i="3"/>
  <c r="F35" i="3"/>
  <c r="F16" i="3"/>
  <c r="F34" i="3"/>
  <c r="F33" i="3"/>
  <c r="F25" i="3"/>
  <c r="P25" i="3"/>
  <c r="F17" i="3"/>
  <c r="H17" i="3"/>
  <c r="F31" i="3"/>
  <c r="F23" i="3"/>
  <c r="P23" i="3"/>
  <c r="F30" i="3"/>
  <c r="F22" i="3"/>
  <c r="F29" i="3"/>
  <c r="F21" i="3"/>
  <c r="F15" i="3"/>
  <c r="F28" i="3"/>
  <c r="F20" i="3"/>
  <c r="E12" i="3"/>
  <c r="D5" i="1"/>
  <c r="E16" i="1"/>
  <c r="I16" i="1"/>
  <c r="E10" i="1"/>
  <c r="F10" i="1"/>
  <c r="F11" i="1"/>
  <c r="E11" i="1"/>
  <c r="E17" i="1"/>
  <c r="I17" i="1"/>
  <c r="E20" i="1"/>
  <c r="I20" i="1"/>
  <c r="E18" i="1"/>
  <c r="E21" i="1"/>
  <c r="I21" i="1"/>
  <c r="E22" i="1"/>
  <c r="I22" i="1"/>
  <c r="E12" i="1"/>
  <c r="G12" i="1"/>
  <c r="E15" i="1"/>
  <c r="H15" i="1"/>
  <c r="E14" i="1"/>
  <c r="H14" i="1"/>
  <c r="E13" i="1"/>
  <c r="G13" i="1"/>
  <c r="E19" i="1"/>
  <c r="I19" i="1"/>
  <c r="H19" i="3"/>
  <c r="O19" i="3"/>
  <c r="P19" i="3"/>
  <c r="P27" i="3"/>
  <c r="B41" i="3"/>
  <c r="C41" i="3"/>
  <c r="D41" i="3"/>
  <c r="I20" i="3"/>
  <c r="O18" i="3"/>
  <c r="P18" i="3"/>
  <c r="B40" i="3"/>
  <c r="C40" i="3"/>
  <c r="D40" i="3"/>
  <c r="B39" i="3"/>
  <c r="C39" i="3"/>
  <c r="D39" i="3"/>
  <c r="F12" i="3"/>
  <c r="G15" i="3"/>
  <c r="O15" i="3"/>
  <c r="P15" i="3"/>
  <c r="G16" i="3"/>
  <c r="G11" i="1"/>
  <c r="J7" i="1"/>
  <c r="I18" i="1"/>
  <c r="F7" i="1"/>
  <c r="E7" i="1"/>
  <c r="K12" i="3"/>
  <c r="K11" i="3"/>
  <c r="O22" i="3"/>
  <c r="P22" i="3"/>
  <c r="O21" i="3"/>
  <c r="P21" i="3"/>
  <c r="J12" i="3"/>
  <c r="J11" i="3"/>
  <c r="O16" i="3"/>
  <c r="P16" i="3"/>
  <c r="G7" i="1"/>
  <c r="I7" i="1"/>
  <c r="H7" i="1"/>
  <c r="H12" i="3"/>
  <c r="O17" i="3"/>
  <c r="P17" i="3"/>
  <c r="G12" i="3"/>
  <c r="O20" i="3"/>
  <c r="P20" i="3"/>
  <c r="I12" i="3"/>
</calcChain>
</file>

<file path=xl/sharedStrings.xml><?xml version="1.0" encoding="utf-8"?>
<sst xmlns="http://schemas.openxmlformats.org/spreadsheetml/2006/main" count="244" uniqueCount="101">
  <si>
    <t>REFERENCIA</t>
  </si>
  <si>
    <t>No operarios</t>
  </si>
  <si>
    <t>DESCRIPCION</t>
  </si>
  <si>
    <t>SALIDA DE BAÑO FALDA CON BOLERO NARANJA</t>
  </si>
  <si>
    <t>capacidad hr minutos</t>
  </si>
  <si>
    <t>SAM TOTAL</t>
  </si>
  <si>
    <t>unidades hora</t>
  </si>
  <si>
    <t>unidades dia</t>
  </si>
  <si>
    <t>OPERARIOS</t>
  </si>
  <si>
    <t>No</t>
  </si>
  <si>
    <t>OPERACIÓN</t>
  </si>
  <si>
    <t>MAQUINA</t>
  </si>
  <si>
    <t>SAM</t>
  </si>
  <si>
    <t>MINUTOS</t>
  </si>
  <si>
    <t>NECESARIOS</t>
  </si>
  <si>
    <t>CERRAR LADOS 15CM (FILETEADORA)</t>
  </si>
  <si>
    <t>FILETEADORA</t>
  </si>
  <si>
    <t>FILETEAR RUEDO 100CM RUCHE</t>
  </si>
  <si>
    <t>CERRAR LADO 100CM (FIL)</t>
  </si>
  <si>
    <t>FIJAR MARQUILLA (PLANA)</t>
  </si>
  <si>
    <t>PLANA 1 AGUJA</t>
  </si>
  <si>
    <t>DOBLAR FORMANDO ENCUADRE 5CM LARGO 2 ANCHO</t>
  </si>
  <si>
    <t>DOBLADILLAR RUEDO DE FALDA 100CM  (RES 2AG)</t>
  </si>
  <si>
    <t>RESORTDORA</t>
  </si>
  <si>
    <t>INTRODUCIR PITILLO</t>
  </si>
  <si>
    <t>MANUAL</t>
  </si>
  <si>
    <t>INTRODUCIR CHAQUIRAS Y ANUDAR</t>
  </si>
  <si>
    <t>REVISAR PAREO</t>
  </si>
  <si>
    <t>ETIQUETAR PRENDA *2</t>
  </si>
  <si>
    <t>PEGAR STICKER A BOLSA INDIVIDUAL JADE</t>
  </si>
  <si>
    <t>EMPACAR PANTY EN BOLSA INDIVIDUAL</t>
  </si>
  <si>
    <t>EMPACAR PANTY EN CAJA GRANDE</t>
  </si>
  <si>
    <t>FILET-1</t>
  </si>
  <si>
    <t>FILET-2</t>
  </si>
  <si>
    <t>FILET-3</t>
  </si>
  <si>
    <t>PLANA-4,5</t>
  </si>
  <si>
    <t>MANUALIDAD. 7,8,9,10,11,12,13</t>
  </si>
  <si>
    <t>RESORT-6</t>
  </si>
  <si>
    <t>Suma de NECESARIOS</t>
  </si>
  <si>
    <t>Total</t>
  </si>
  <si>
    <t>MQUINAS</t>
  </si>
  <si>
    <t>TOTAL</t>
  </si>
  <si>
    <t>FAMILIA</t>
  </si>
  <si>
    <t>PROCESO</t>
  </si>
  <si>
    <t>CONSECUTIVO</t>
  </si>
  <si>
    <t>SALIDA DE BAÑO</t>
  </si>
  <si>
    <t>MAXIVESTIDO</t>
  </si>
  <si>
    <t>ENSAMBLE</t>
  </si>
  <si>
    <t>TERMINACION</t>
  </si>
  <si>
    <t>OJAL</t>
  </si>
  <si>
    <t>OJALADORA</t>
  </si>
  <si>
    <t>PUNTEAR OJAL</t>
  </si>
  <si>
    <t>BOTONAR</t>
  </si>
  <si>
    <t>BOTONADORA</t>
  </si>
  <si>
    <t>PLANCHADO</t>
  </si>
  <si>
    <t>SAM-MINUTOS</t>
  </si>
  <si>
    <t>Suma de SAM-MINUTOS</t>
  </si>
  <si>
    <t># TAMANO PAQUETE</t>
  </si>
  <si>
    <t>TIEMPO PAQUETE 1</t>
  </si>
  <si>
    <t>Unidades x dia</t>
  </si>
  <si>
    <t>MINUTOS NECESARIOS</t>
  </si>
  <si>
    <t>OP.1</t>
  </si>
  <si>
    <t>OP.2</t>
  </si>
  <si>
    <t>OP.3</t>
  </si>
  <si>
    <t>OP.4</t>
  </si>
  <si>
    <t>0P.5</t>
  </si>
  <si>
    <t>OP.6</t>
  </si>
  <si>
    <t>OP.7</t>
  </si>
  <si>
    <t>OP.8</t>
  </si>
  <si>
    <t>OPERADOR</t>
  </si>
  <si>
    <t>MARIA</t>
  </si>
  <si>
    <t>CLAUDIA</t>
  </si>
  <si>
    <t>PAOLA</t>
  </si>
  <si>
    <t>JULIETA</t>
  </si>
  <si>
    <t>SOFIA</t>
  </si>
  <si>
    <t>BRENDA</t>
  </si>
  <si>
    <t>TOTAL MAQUINAS</t>
  </si>
  <si>
    <t>MANUALIDAD</t>
  </si>
  <si>
    <t>MAQUINAS NECESARIAS</t>
  </si>
  <si>
    <t>MAQUINAS</t>
  </si>
  <si>
    <t>TAMAÑO DEL LOTE</t>
  </si>
  <si>
    <t>UND</t>
  </si>
  <si>
    <t>FILETEADORA -1  OP 1,2</t>
  </si>
  <si>
    <t>FILETEADORA-2 OP 3</t>
  </si>
  <si>
    <t>PLANA 1 AGUJA. OP 4,5</t>
  </si>
  <si>
    <t>RESORTADORA-6</t>
  </si>
  <si>
    <t>TEIMPO PROYECTADO TERMINACION LOTE-HORAS</t>
  </si>
  <si>
    <t>TIEMPO PRIMER PAQUETE</t>
  </si>
  <si>
    <t>DISTRIBUCION DE MAQUINAS</t>
  </si>
  <si>
    <t>vacacional</t>
  </si>
  <si>
    <t>dirigido</t>
  </si>
  <si>
    <t>revisemos la Matriz de asignacion, el dato de minutos que incluimos en la casilla [Nivelacion], es el factor que se usa en la pantalla "Matriz de Asignacion"  en la seccion --&gt; "Total asignado (minutos)"</t>
  </si>
  <si>
    <t>en la ventana "Matriz de Asignacion"</t>
  </si>
  <si>
    <t>la novelacion se hace en funcion de los minutos de Nivelacion</t>
  </si>
  <si>
    <t>esta es la logica:</t>
  </si>
  <si>
    <t>se deberá asignar el "SAM unitario" de la operacion 1 ---&gt; Op1 si el dato asignado es igual al SAM unitario pongase en color verde.</t>
  </si>
  <si>
    <t xml:space="preserve">al final de cada columna se debe sumar el tiempo asignado y debera ser comparado con el tiempo de nivelacion asignado. </t>
  </si>
  <si>
    <t>en el boton de asigancion automatica la logica es la siguiente:</t>
  </si>
  <si>
    <t xml:space="preserve">1- Asignar el tiempo SAM Unitario --&gt; Op1  si  sumatoria{SamUnitario} &lt; minutos Nivelacion, entonces, asigne otro tiempo de SAM unitario de la siguiente Actividad. y se vuelve a evaluar, hasta que la sumaroria de las asignaciones sean iguales al [Tiempo de nivelacion], </t>
  </si>
  <si>
    <t>el excedente del tiempo se debe asignar a otro operario para completar con el tiempo de la actividad, asi hasta que ya no queden actividades por asignar</t>
  </si>
  <si>
    <t>si se ncesitan mas operarios se debra enviar el aviso para poder re calcular, y si sobran operarios sin trabajo tambien se debera avisar para tomar medidas.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</si>
</sst>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0" borderId="1" xfId="0" applyNumberFormat="1" applyBorder="1"/>
    <xf numFmtId="1" fontId="0" fillId="0" borderId="0" xfId="0" applyNumberFormat="1"/>
    <xf numFmtId="1" fontId="0" fillId="0" borderId="1" xfId="0" applyNumberFormat="1" applyBorder="1"/>
    <xf numFmtId="2" fontId="0" fillId="0" borderId="0" xfId="0" applyNumberFormat="1"/>
    <xf numFmtId="0" fontId="0" fillId="2" borderId="2" xfId="0" applyFill="1" applyBorder="1"/>
    <xf numFmtId="0" fontId="0" fillId="0" borderId="3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wrapText="1"/>
    </xf>
    <xf numFmtId="0" fontId="0" fillId="3" borderId="5" xfId="0" applyFill="1" applyBorder="1" applyAlignment="1">
      <alignment wrapText="1"/>
    </xf>
    <xf numFmtId="4" fontId="0" fillId="0" borderId="5" xfId="0" applyNumberFormat="1" applyBorder="1" applyAlignment="1">
      <alignment horizontal="right"/>
    </xf>
    <xf numFmtId="2" fontId="0" fillId="0" borderId="1" xfId="0" applyNumberFormat="1" applyBorder="1"/>
    <xf numFmtId="0" fontId="0" fillId="4" borderId="5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/>
    <xf numFmtId="0" fontId="0" fillId="5" borderId="0" xfId="0" applyFill="1"/>
    <xf numFmtId="0" fontId="0" fillId="0" borderId="0" xfId="0" applyAlignment="1">
      <alignment horizontal="right"/>
    </xf>
    <xf numFmtId="0" fontId="0" fillId="0" borderId="7" xfId="0" applyBorder="1"/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4" fontId="0" fillId="0" borderId="7" xfId="0" applyNumberFormat="1" applyBorder="1" applyAlignment="1">
      <alignment horizontal="right"/>
    </xf>
    <xf numFmtId="2" fontId="0" fillId="0" borderId="2" xfId="0" applyNumberFormat="1" applyBorder="1"/>
    <xf numFmtId="2" fontId="0" fillId="0" borderId="5" xfId="0" applyNumberFormat="1" applyBorder="1"/>
    <xf numFmtId="0" fontId="0" fillId="0" borderId="0" xfId="0" pivotButton="1"/>
    <xf numFmtId="164" fontId="0" fillId="0" borderId="0" xfId="0" applyNumberFormat="1"/>
    <xf numFmtId="2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2" fillId="0" borderId="0" xfId="0" applyFont="1"/>
    <xf numFmtId="1" fontId="0" fillId="2" borderId="1" xfId="0" applyNumberFormat="1" applyFill="1" applyBorder="1"/>
    <xf numFmtId="2" fontId="0" fillId="7" borderId="1" xfId="0" applyNumberFormat="1" applyFill="1" applyBorder="1"/>
    <xf numFmtId="0" fontId="0" fillId="0" borderId="0" xfId="0" pivotButton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4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wrapText="1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/>
    <xf numFmtId="164" fontId="0" fillId="9" borderId="5" xfId="0" applyNumberFormat="1" applyFill="1" applyBorder="1" applyAlignment="1">
      <alignment horizontal="center"/>
    </xf>
    <xf numFmtId="164" fontId="0" fillId="10" borderId="5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2" fontId="4" fillId="7" borderId="0" xfId="0" applyNumberFormat="1" applyFont="1" applyFill="1" applyAlignment="1">
      <alignment horizontal="center"/>
    </xf>
    <xf numFmtId="0" fontId="1" fillId="3" borderId="5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5" borderId="0" xfId="0" applyFont="1" applyFill="1"/>
    <xf numFmtId="0" fontId="1" fillId="0" borderId="0" xfId="0" applyFont="1" applyAlignment="1">
      <alignment wrapText="1"/>
    </xf>
    <xf numFmtId="0" fontId="1" fillId="0" borderId="0" xfId="0" applyFont="1"/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8">
    <dxf>
      <numFmt numFmtId="164" formatCode="0.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 Franco M" refreshedDate="45895.84387384259" createdVersion="8" refreshedVersion="8" minRefreshableVersion="3" recordCount="22" xr:uid="{CF971CF8-8F53-4BB0-A040-5E2DCCC2A565}">
  <cacheSource type="worksheet">
    <worksheetSource ref="A9:E31" sheet="BALANCEO-BORRADOR"/>
  </cacheSource>
  <cacheFields count="5">
    <cacheField name="No" numFmtId="0">
      <sharedItems containsString="0" containsBlank="1" containsNumber="1" containsInteger="1" minValue="1" maxValue="13"/>
    </cacheField>
    <cacheField name="OPERACIÓN" numFmtId="0">
      <sharedItems containsBlank="1"/>
    </cacheField>
    <cacheField name="MAQUINA" numFmtId="0">
      <sharedItems containsBlank="1" count="5">
        <s v="FILETEADORA"/>
        <s v="PLANA 1 AGUJA"/>
        <s v="RESORTDORA"/>
        <s v="MANUAL"/>
        <m/>
      </sharedItems>
    </cacheField>
    <cacheField name="SAM" numFmtId="0">
      <sharedItems containsString="0" containsBlank="1" containsNumber="1" minValue="6.0000000000000001E-3" maxValue="0.90980000000000005"/>
    </cacheField>
    <cacheField name="NECESARIOS" numFmtId="0">
      <sharedItems containsString="0" containsBlank="1" containsNumber="1" minValue="0.31224250834815037" maxValue="47.3463723491912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 Franco M" refreshedDate="45897.682571296296" createdVersion="8" refreshedVersion="8" minRefreshableVersion="3" recordCount="29" xr:uid="{CBEA64E9-58DE-4C22-9F68-1707E95546C3}">
  <cacheSource type="worksheet">
    <worksheetSource ref="A1:H30" sheet="LISTADO PRODUCTOS"/>
  </cacheSource>
  <cacheFields count="8">
    <cacheField name="REFERENCIA" numFmtId="0">
      <sharedItems containsString="0" containsBlank="1" containsNumber="1" containsInteger="1" minValue="14921" maxValue="14921" count="2">
        <n v="14921"/>
        <m/>
      </sharedItems>
    </cacheField>
    <cacheField name="DESCRIPCION" numFmtId="0">
      <sharedItems containsBlank="1" count="2">
        <s v="SALIDA DE BAÑO"/>
        <m/>
      </sharedItems>
    </cacheField>
    <cacheField name="FAMILIA" numFmtId="0">
      <sharedItems containsBlank="1" count="2">
        <s v="MAXIVESTIDO"/>
        <m/>
      </sharedItems>
    </cacheField>
    <cacheField name="PROCESO" numFmtId="0">
      <sharedItems containsBlank="1" count="3">
        <s v="ENSAMBLE"/>
        <s v="TERMINACION"/>
        <m/>
      </sharedItems>
    </cacheField>
    <cacheField name="CONSECUTIVO" numFmtId="0">
      <sharedItems containsString="0" containsBlank="1" containsNumber="1" containsInteger="1" minValue="1" maxValue="13" count="14">
        <n v="1"/>
        <n v="2"/>
        <n v="3"/>
        <n v="4"/>
        <n v="5"/>
        <n v="6"/>
        <n v="7"/>
        <n v="8"/>
        <n v="9"/>
        <n v="10"/>
        <n v="11"/>
        <n v="12"/>
        <n v="13"/>
        <m/>
      </sharedItems>
    </cacheField>
    <cacheField name="OPERACIÓN" numFmtId="0">
      <sharedItems containsBlank="1" count="18">
        <s v="CERRAR LADOS 15CM (FILETEADORA)"/>
        <s v="FILETEAR RUEDO 100CM RUCHE"/>
        <s v="CERRAR LADO 100CM (FIL)"/>
        <s v="FIJAR MARQUILLA (PLANA)"/>
        <s v="DOBLAR FORMANDO ENCUADRE 5CM LARGO 2 ANCHO"/>
        <s v="DOBLADILLAR RUEDO DE FALDA 100CM  (RES 2AG)"/>
        <s v="INTRODUCIR PITILLO"/>
        <s v="INTRODUCIR CHAQUIRAS Y ANUDAR"/>
        <s v="REVISAR PAREO"/>
        <s v="ETIQUETAR PRENDA *2"/>
        <s v="PEGAR STICKER A BOLSA INDIVIDUAL JADE"/>
        <s v="EMPACAR PANTY EN BOLSA INDIVIDUAL"/>
        <s v="EMPACAR PANTY EN CAJA GRANDE"/>
        <s v="PUNTEAR OJAL"/>
        <s v="OJAL"/>
        <s v="BOTONAR"/>
        <s v="PLANCHADO"/>
        <m/>
      </sharedItems>
    </cacheField>
    <cacheField name="MAQUINA" numFmtId="0">
      <sharedItems containsBlank="1" count="7">
        <s v="FILETEADORA"/>
        <s v="PLANA 1 AGUJA"/>
        <s v="RESORTDORA"/>
        <s v="MANUAL"/>
        <s v="OJALADORA"/>
        <s v="BOTONADORA"/>
        <m/>
      </sharedItems>
    </cacheField>
    <cacheField name="SAM-MINUTOS" numFmtId="2">
      <sharedItems containsString="0" containsBlank="1" containsNumber="1" minValue="6.0000000000000001E-3" maxValue="0.90980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n v="1"/>
    <s v="CERRAR LADOS 15CM (FILETEADORA)"/>
    <x v="0"/>
    <n v="0.90980000000000005"/>
    <n v="47.346372349191206"/>
  </r>
  <r>
    <n v="2"/>
    <s v="FILETEAR RUEDO 100CM RUCHE"/>
    <x v="0"/>
    <n v="0.51780000000000004"/>
    <n v="26.946528470445379"/>
  </r>
  <r>
    <n v="3"/>
    <s v="CERRAR LADO 100CM (FIL)"/>
    <x v="0"/>
    <n v="0.67900000000000005"/>
    <n v="35.335443861399021"/>
  </r>
  <r>
    <n v="4"/>
    <s v="FIJAR MARQUILLA (PLANA)"/>
    <x v="1"/>
    <n v="0.20530000000000001"/>
    <n v="10.683897827312546"/>
  </r>
  <r>
    <n v="5"/>
    <s v="DOBLAR FORMANDO ENCUADRE 5CM LARGO 2 ANCHO"/>
    <x v="1"/>
    <n v="0.43390000000000001"/>
    <n v="22.580337395377075"/>
  </r>
  <r>
    <n v="6"/>
    <s v="DOBLADILLAR RUEDO DE FALDA 100CM  (RES 2AG)"/>
    <x v="2"/>
    <n v="0.61480000000000001"/>
    <n v="31.994449022073809"/>
  </r>
  <r>
    <n v="7"/>
    <s v="INTRODUCIR PITILLO"/>
    <x v="3"/>
    <n v="0.31780000000000003"/>
    <n v="16.538444858840364"/>
  </r>
  <r>
    <n v="8"/>
    <s v="INTRODUCIR CHAQUIRAS Y ANUDAR"/>
    <x v="3"/>
    <n v="0.3357"/>
    <n v="17.469968342079014"/>
  </r>
  <r>
    <n v="9"/>
    <s v="REVISAR PAREO"/>
    <x v="3"/>
    <n v="0.2712"/>
    <n v="14.113361377336396"/>
  </r>
  <r>
    <n v="10"/>
    <s v="ETIQUETAR PRENDA *2"/>
    <x v="3"/>
    <n v="0.11509999999999999"/>
    <n v="5.9898521184786846"/>
  </r>
  <r>
    <n v="11"/>
    <s v="PEGAR STICKER A BOLSA INDIVIDUAL JADE"/>
    <x v="3"/>
    <n v="7.2099999999999997E-2"/>
    <n v="3.7521141419836068"/>
  </r>
  <r>
    <n v="12"/>
    <s v="EMPACAR PANTY EN BOLSA INDIVIDUAL"/>
    <x v="3"/>
    <n v="0.1333"/>
    <n v="6.9369877271347411"/>
  </r>
  <r>
    <n v="13"/>
    <s v="EMPACAR PANTY EN CAJA GRANDE"/>
    <x v="3"/>
    <n v="6.0000000000000001E-3"/>
    <n v="0.31224250834815037"/>
  </r>
  <r>
    <m/>
    <m/>
    <x v="4"/>
    <m/>
    <m/>
  </r>
  <r>
    <m/>
    <m/>
    <x v="4"/>
    <m/>
    <m/>
  </r>
  <r>
    <m/>
    <m/>
    <x v="4"/>
    <m/>
    <m/>
  </r>
  <r>
    <m/>
    <m/>
    <x v="4"/>
    <m/>
    <m/>
  </r>
  <r>
    <m/>
    <m/>
    <x v="4"/>
    <m/>
    <m/>
  </r>
  <r>
    <m/>
    <m/>
    <x v="4"/>
    <m/>
    <m/>
  </r>
  <r>
    <m/>
    <m/>
    <x v="4"/>
    <m/>
    <m/>
  </r>
  <r>
    <m/>
    <m/>
    <x v="4"/>
    <m/>
    <m/>
  </r>
  <r>
    <m/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x v="0"/>
    <x v="0"/>
    <x v="0"/>
    <x v="0"/>
    <x v="0"/>
    <x v="0"/>
    <n v="0.90980000000000005"/>
  </r>
  <r>
    <x v="0"/>
    <x v="0"/>
    <x v="0"/>
    <x v="0"/>
    <x v="1"/>
    <x v="1"/>
    <x v="0"/>
    <n v="0.51780000000000004"/>
  </r>
  <r>
    <x v="0"/>
    <x v="0"/>
    <x v="0"/>
    <x v="0"/>
    <x v="2"/>
    <x v="2"/>
    <x v="0"/>
    <n v="0.67900000000000005"/>
  </r>
  <r>
    <x v="0"/>
    <x v="0"/>
    <x v="0"/>
    <x v="0"/>
    <x v="3"/>
    <x v="3"/>
    <x v="1"/>
    <n v="0.20530000000000001"/>
  </r>
  <r>
    <x v="0"/>
    <x v="0"/>
    <x v="0"/>
    <x v="0"/>
    <x v="4"/>
    <x v="4"/>
    <x v="1"/>
    <n v="0.43390000000000001"/>
  </r>
  <r>
    <x v="0"/>
    <x v="0"/>
    <x v="0"/>
    <x v="0"/>
    <x v="5"/>
    <x v="5"/>
    <x v="2"/>
    <n v="0.61480000000000001"/>
  </r>
  <r>
    <x v="0"/>
    <x v="0"/>
    <x v="0"/>
    <x v="0"/>
    <x v="6"/>
    <x v="6"/>
    <x v="3"/>
    <n v="0.31780000000000003"/>
  </r>
  <r>
    <x v="0"/>
    <x v="0"/>
    <x v="0"/>
    <x v="0"/>
    <x v="7"/>
    <x v="7"/>
    <x v="3"/>
    <n v="0.3357"/>
  </r>
  <r>
    <x v="0"/>
    <x v="0"/>
    <x v="0"/>
    <x v="0"/>
    <x v="8"/>
    <x v="8"/>
    <x v="3"/>
    <n v="0.2712"/>
  </r>
  <r>
    <x v="0"/>
    <x v="0"/>
    <x v="0"/>
    <x v="0"/>
    <x v="9"/>
    <x v="9"/>
    <x v="3"/>
    <n v="0.11509999999999999"/>
  </r>
  <r>
    <x v="0"/>
    <x v="0"/>
    <x v="0"/>
    <x v="0"/>
    <x v="10"/>
    <x v="10"/>
    <x v="3"/>
    <n v="7.2099999999999997E-2"/>
  </r>
  <r>
    <x v="0"/>
    <x v="0"/>
    <x v="0"/>
    <x v="0"/>
    <x v="11"/>
    <x v="11"/>
    <x v="3"/>
    <n v="0.1333"/>
  </r>
  <r>
    <x v="0"/>
    <x v="0"/>
    <x v="0"/>
    <x v="0"/>
    <x v="12"/>
    <x v="12"/>
    <x v="3"/>
    <n v="6.0000000000000001E-3"/>
  </r>
  <r>
    <x v="0"/>
    <x v="0"/>
    <x v="0"/>
    <x v="1"/>
    <x v="0"/>
    <x v="13"/>
    <x v="3"/>
    <n v="0.3"/>
  </r>
  <r>
    <x v="0"/>
    <x v="0"/>
    <x v="0"/>
    <x v="1"/>
    <x v="1"/>
    <x v="14"/>
    <x v="4"/>
    <n v="0.4"/>
  </r>
  <r>
    <x v="0"/>
    <x v="0"/>
    <x v="0"/>
    <x v="1"/>
    <x v="2"/>
    <x v="15"/>
    <x v="5"/>
    <n v="0.4"/>
  </r>
  <r>
    <x v="0"/>
    <x v="0"/>
    <x v="0"/>
    <x v="1"/>
    <x v="3"/>
    <x v="16"/>
    <x v="3"/>
    <n v="0.4"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  <r>
    <x v="1"/>
    <x v="1"/>
    <x v="1"/>
    <x v="2"/>
    <x v="13"/>
    <x v="17"/>
    <x v="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88988-22C1-4C99-9BAF-25CE031C11FA}" name="TablaDinámica1" cacheId="3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gridDropZones="1" multipleFieldFilters="0">
  <location ref="A13:D27" firstHeaderRow="2" firstDataRow="2" firstDataCol="3" rowPageCount="4" colPageCount="1"/>
  <pivotFields count="8"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3">
        <item x="0"/>
        <item x="1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18">
        <item x="15"/>
        <item x="2"/>
        <item x="0"/>
        <item x="5"/>
        <item x="4"/>
        <item x="11"/>
        <item x="12"/>
        <item x="9"/>
        <item x="3"/>
        <item x="1"/>
        <item x="7"/>
        <item x="6"/>
        <item x="14"/>
        <item x="10"/>
        <item x="16"/>
        <item x="13"/>
        <item x="8"/>
        <item x="17"/>
      </items>
    </pivotField>
    <pivotField axis="axisRow" compact="0" outline="0" showAll="0">
      <items count="8">
        <item x="5"/>
        <item x="0"/>
        <item x="3"/>
        <item x="4"/>
        <item x="1"/>
        <item x="2"/>
        <item x="6"/>
        <item t="default"/>
      </items>
    </pivotField>
    <pivotField dataField="1" compact="0" outline="0" showAll="0"/>
  </pivotFields>
  <rowFields count="3">
    <field x="4"/>
    <field x="5"/>
    <field x="6"/>
  </rowFields>
  <rowItems count="13">
    <i>
      <x/>
      <x v="2"/>
      <x v="1"/>
    </i>
    <i>
      <x v="1"/>
      <x v="9"/>
      <x v="1"/>
    </i>
    <i>
      <x v="2"/>
      <x v="1"/>
      <x v="1"/>
    </i>
    <i>
      <x v="3"/>
      <x v="8"/>
      <x v="4"/>
    </i>
    <i>
      <x v="4"/>
      <x v="4"/>
      <x v="4"/>
    </i>
    <i>
      <x v="5"/>
      <x v="3"/>
      <x v="5"/>
    </i>
    <i>
      <x v="6"/>
      <x v="11"/>
      <x v="2"/>
    </i>
    <i>
      <x v="7"/>
      <x v="10"/>
      <x v="2"/>
    </i>
    <i>
      <x v="8"/>
      <x v="16"/>
      <x v="2"/>
    </i>
    <i>
      <x v="9"/>
      <x v="7"/>
      <x v="2"/>
    </i>
    <i>
      <x v="10"/>
      <x v="13"/>
      <x v="2"/>
    </i>
    <i>
      <x v="11"/>
      <x v="5"/>
      <x v="2"/>
    </i>
    <i>
      <x v="12"/>
      <x v="6"/>
      <x v="2"/>
    </i>
  </rowItems>
  <colItems count="1">
    <i/>
  </colItems>
  <pageFields count="4">
    <pageField fld="2" item="0" hier="-1"/>
    <pageField fld="1" item="0" hier="-1"/>
    <pageField fld="0" item="0" hier="-1"/>
    <pageField fld="3" item="0" hier="-1"/>
  </pageFields>
  <dataFields count="1">
    <dataField name="Suma de SAM-MINUTOS" fld="7" baseField="0" baseItem="0" numFmtId="2"/>
  </dataFields>
  <formats count="7">
    <format dxfId="7">
      <pivotArea field="4" type="button" dataOnly="0" labelOnly="1" outline="0" axis="axisRow" fieldPosition="0"/>
    </format>
    <format dxfId="6">
      <pivotArea field="5" type="button" dataOnly="0" labelOnly="1" outline="0" axis="axisRow" fieldPosition="1"/>
    </format>
    <format dxfId="5">
      <pivotArea field="6" type="button" dataOnly="0" labelOnly="1" outline="0" axis="axisRow" fieldPosition="2"/>
    </format>
    <format dxfId="4">
      <pivotArea field="4" type="button" dataOnly="0" labelOnly="1" outline="0" axis="axisRow" fieldPosition="0"/>
    </format>
    <format dxfId="3">
      <pivotArea field="5" type="button" dataOnly="0" labelOnly="1" outline="0" axis="axisRow" fieldPosition="1"/>
    </format>
    <format dxfId="2">
      <pivotArea field="6" type="button" dataOnly="0" labelOnly="1" outline="0" axis="axisRow" fieldPosition="2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798D9-6FF7-4896-9806-1416E888C48B}" name="TablaDinámica2" cacheId="2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gridDropZones="1" multipleFieldFilters="0">
  <location ref="A35:B39" firstHeaderRow="2" firstDataRow="2" firstDataCol="1"/>
  <pivotFields count="5">
    <pivotField compact="0" outline="0" showAll="0"/>
    <pivotField compact="0" outline="0" showAll="0"/>
    <pivotField axis="axisRow" compact="0" outline="0" showAll="0">
      <items count="6">
        <item x="0"/>
        <item h="1" x="3"/>
        <item x="1"/>
        <item x="2"/>
        <item h="1" x="4"/>
        <item t="default"/>
      </items>
    </pivotField>
    <pivotField compact="0" outline="0" showAll="0"/>
    <pivotField dataField="1" compact="0" outline="0" showAll="0"/>
  </pivotFields>
  <rowFields count="1">
    <field x="2"/>
  </rowFields>
  <rowItems count="3">
    <i>
      <x/>
    </i>
    <i>
      <x v="2"/>
    </i>
    <i>
      <x v="3"/>
    </i>
  </rowItems>
  <colItems count="1">
    <i/>
  </colItems>
  <dataFields count="1">
    <dataField name="Suma de NECESARIOS" fld="4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220A-3D97-40BF-903A-47AF7C492C50}">
  <dimension ref="A2:P51"/>
  <sheetViews>
    <sheetView zoomScale="70" zoomScaleNormal="70" workbookViewId="0">
      <selection activeCell="F15" sqref="F15"/>
    </sheetView>
  </sheetViews>
  <sheetFormatPr baseColWidth="10" defaultColWidth="10.83203125" defaultRowHeight="15" x14ac:dyDescent="0.2"/>
  <cols>
    <col min="1" max="1" width="15.6640625" customWidth="1"/>
    <col min="2" max="2" width="48" customWidth="1"/>
    <col min="3" max="3" width="15.83203125" bestFit="1" customWidth="1"/>
    <col min="4" max="4" width="5.1640625" bestFit="1" customWidth="1"/>
    <col min="5" max="5" width="15" customWidth="1"/>
    <col min="6" max="6" width="17.6640625" customWidth="1"/>
    <col min="10" max="10" width="20.83203125" customWidth="1"/>
    <col min="11" max="11" width="11.1640625" bestFit="1" customWidth="1"/>
  </cols>
  <sheetData>
    <row r="2" spans="1:16" ht="48" x14ac:dyDescent="0.2">
      <c r="F2" s="36" t="s">
        <v>80</v>
      </c>
      <c r="G2" s="21">
        <v>600</v>
      </c>
      <c r="H2" s="36" t="s">
        <v>81</v>
      </c>
      <c r="J2" s="56" t="s">
        <v>86</v>
      </c>
      <c r="K2" s="51">
        <f>+G2/G7</f>
        <v>15.372666666666669</v>
      </c>
    </row>
    <row r="3" spans="1:16" ht="16" thickBot="1" x14ac:dyDescent="0.25"/>
    <row r="4" spans="1:16" ht="16" thickBot="1" x14ac:dyDescent="0.25">
      <c r="F4" t="s">
        <v>1</v>
      </c>
      <c r="G4" s="2">
        <v>3</v>
      </c>
      <c r="H4">
        <f>+G4*G5</f>
        <v>180</v>
      </c>
    </row>
    <row r="5" spans="1:16" ht="16" thickBot="1" x14ac:dyDescent="0.25">
      <c r="F5" t="s">
        <v>4</v>
      </c>
      <c r="G5" s="3">
        <v>60</v>
      </c>
    </row>
    <row r="6" spans="1:16" ht="16" thickBot="1" x14ac:dyDescent="0.25">
      <c r="F6" t="s">
        <v>5</v>
      </c>
      <c r="G6" s="38">
        <f>+D12</f>
        <v>4.6118000000000006</v>
      </c>
    </row>
    <row r="7" spans="1:16" ht="16" thickBot="1" x14ac:dyDescent="0.25">
      <c r="F7" t="s">
        <v>6</v>
      </c>
      <c r="G7" s="4">
        <f>+(G4*G5)/G6</f>
        <v>39.030313543518794</v>
      </c>
    </row>
    <row r="8" spans="1:16" ht="16" thickBot="1" x14ac:dyDescent="0.25">
      <c r="A8" s="29" t="s">
        <v>42</v>
      </c>
      <c r="B8" t="s">
        <v>46</v>
      </c>
      <c r="F8" s="36" t="s">
        <v>57</v>
      </c>
      <c r="G8" s="37">
        <v>5</v>
      </c>
    </row>
    <row r="9" spans="1:16" x14ac:dyDescent="0.2">
      <c r="A9" s="29" t="s">
        <v>2</v>
      </c>
      <c r="B9" t="s">
        <v>45</v>
      </c>
      <c r="F9" s="36" t="s">
        <v>59</v>
      </c>
      <c r="G9" s="5">
        <f>+G7*8</f>
        <v>312.24250834815035</v>
      </c>
    </row>
    <row r="10" spans="1:16" x14ac:dyDescent="0.2">
      <c r="A10" s="29" t="s">
        <v>0</v>
      </c>
      <c r="B10" s="1">
        <v>14921</v>
      </c>
    </row>
    <row r="11" spans="1:16" ht="32" x14ac:dyDescent="0.2">
      <c r="A11" s="29" t="s">
        <v>43</v>
      </c>
      <c r="B11" t="s">
        <v>47</v>
      </c>
      <c r="D11" s="41" t="s">
        <v>12</v>
      </c>
      <c r="E11" s="40" t="s">
        <v>87</v>
      </c>
      <c r="J11">
        <f t="shared" ref="J11:N11" si="0">60-J12</f>
        <v>60</v>
      </c>
      <c r="K11">
        <f t="shared" si="0"/>
        <v>60</v>
      </c>
      <c r="L11">
        <f t="shared" si="0"/>
        <v>60</v>
      </c>
      <c r="M11">
        <f t="shared" si="0"/>
        <v>60</v>
      </c>
      <c r="N11">
        <f t="shared" si="0"/>
        <v>60</v>
      </c>
    </row>
    <row r="12" spans="1:16" x14ac:dyDescent="0.2">
      <c r="C12" s="36"/>
      <c r="D12" s="48">
        <f>SUM(D15:D34)</f>
        <v>4.6118000000000006</v>
      </c>
      <c r="E12" s="48">
        <f>SUM(E15:E34)</f>
        <v>23.059000000000005</v>
      </c>
      <c r="F12" s="48">
        <f>SUM(F15:F34)</f>
        <v>179.99999999999997</v>
      </c>
      <c r="G12" s="52">
        <f>SUM(G15:G34)</f>
        <v>60</v>
      </c>
      <c r="H12" s="52">
        <f>SUM(H15:H34)</f>
        <v>60.44975931306648</v>
      </c>
      <c r="I12" s="52">
        <f t="shared" ref="I12:N12" si="1">SUM(I15:I34)</f>
        <v>59.993642395593902</v>
      </c>
      <c r="J12" s="48">
        <f t="shared" si="1"/>
        <v>0</v>
      </c>
      <c r="K12" s="48">
        <f t="shared" si="1"/>
        <v>0</v>
      </c>
      <c r="L12" s="48">
        <f t="shared" si="1"/>
        <v>0</v>
      </c>
      <c r="M12" s="48">
        <f t="shared" si="1"/>
        <v>0</v>
      </c>
      <c r="N12" s="48">
        <f t="shared" si="1"/>
        <v>0</v>
      </c>
    </row>
    <row r="13" spans="1:16" x14ac:dyDescent="0.2">
      <c r="A13" s="29" t="s">
        <v>56</v>
      </c>
    </row>
    <row r="14" spans="1:16" ht="28.5" customHeight="1" x14ac:dyDescent="0.2">
      <c r="A14" s="39" t="s">
        <v>44</v>
      </c>
      <c r="B14" s="39" t="s">
        <v>10</v>
      </c>
      <c r="C14" s="39" t="s">
        <v>11</v>
      </c>
      <c r="D14" t="s">
        <v>39</v>
      </c>
      <c r="E14" s="45" t="s">
        <v>58</v>
      </c>
      <c r="F14" s="46" t="s">
        <v>60</v>
      </c>
      <c r="G14" s="47" t="s">
        <v>61</v>
      </c>
      <c r="H14" s="47" t="s">
        <v>62</v>
      </c>
      <c r="I14" s="47" t="s">
        <v>63</v>
      </c>
      <c r="J14" s="47" t="s">
        <v>64</v>
      </c>
      <c r="K14" s="47" t="s">
        <v>65</v>
      </c>
      <c r="L14" s="47" t="s">
        <v>66</v>
      </c>
      <c r="M14" s="47" t="s">
        <v>67</v>
      </c>
      <c r="N14" s="47" t="s">
        <v>68</v>
      </c>
    </row>
    <row r="15" spans="1:16" x14ac:dyDescent="0.2">
      <c r="A15">
        <v>1</v>
      </c>
      <c r="B15" t="s">
        <v>15</v>
      </c>
      <c r="C15" t="s">
        <v>16</v>
      </c>
      <c r="D15" s="7">
        <v>0.90980000000000005</v>
      </c>
      <c r="E15" s="43">
        <f>+D15*$G$8</f>
        <v>4.5490000000000004</v>
      </c>
      <c r="F15" s="44">
        <f>+D15*$G$7</f>
        <v>35.509779261893399</v>
      </c>
      <c r="G15" s="49">
        <f>+F15</f>
        <v>35.509779261893399</v>
      </c>
      <c r="H15" s="50"/>
      <c r="I15" s="49"/>
      <c r="J15" s="50"/>
      <c r="K15" s="49"/>
      <c r="L15" s="50"/>
      <c r="M15" s="49"/>
      <c r="N15" s="50"/>
      <c r="O15" s="30">
        <f>SUM(G15:N15)</f>
        <v>35.509779261893399</v>
      </c>
      <c r="P15" s="30">
        <f>+F15-O15</f>
        <v>0</v>
      </c>
    </row>
    <row r="16" spans="1:16" x14ac:dyDescent="0.2">
      <c r="A16">
        <v>2</v>
      </c>
      <c r="B16" t="s">
        <v>17</v>
      </c>
      <c r="C16" t="s">
        <v>16</v>
      </c>
      <c r="D16" s="7">
        <v>0.51780000000000004</v>
      </c>
      <c r="E16" s="43">
        <f t="shared" ref="E16:E35" si="2">+D16*$G$8</f>
        <v>2.5890000000000004</v>
      </c>
      <c r="F16" s="44">
        <f t="shared" ref="F16:F35" si="3">+D16*$G$7</f>
        <v>20.209896352834033</v>
      </c>
      <c r="G16" s="49">
        <f>60-F15</f>
        <v>24.490220738106601</v>
      </c>
      <c r="H16" s="50"/>
      <c r="I16" s="49"/>
      <c r="J16" s="50"/>
      <c r="K16" s="49"/>
      <c r="L16" s="50"/>
      <c r="M16" s="49"/>
      <c r="N16" s="50"/>
      <c r="O16" s="30">
        <f t="shared" ref="O16:O29" si="4">SUM(G16:N16)</f>
        <v>24.490220738106601</v>
      </c>
      <c r="P16" s="30">
        <f t="shared" ref="P16:P27" si="5">+F16-O16</f>
        <v>-4.2803243852725679</v>
      </c>
    </row>
    <row r="17" spans="1:16" x14ac:dyDescent="0.2">
      <c r="A17">
        <v>3</v>
      </c>
      <c r="B17" t="s">
        <v>18</v>
      </c>
      <c r="C17" t="s">
        <v>16</v>
      </c>
      <c r="D17" s="7">
        <v>0.67900000000000005</v>
      </c>
      <c r="E17" s="43">
        <f t="shared" si="2"/>
        <v>3.3950000000000005</v>
      </c>
      <c r="F17" s="44">
        <f t="shared" si="3"/>
        <v>26.501582896049264</v>
      </c>
      <c r="G17" s="49"/>
      <c r="H17" s="50">
        <f>+F17</f>
        <v>26.501582896049264</v>
      </c>
      <c r="I17" s="49"/>
      <c r="J17" s="50"/>
      <c r="K17" s="49"/>
      <c r="L17" s="50"/>
      <c r="M17" s="49"/>
      <c r="N17" s="50"/>
      <c r="O17" s="30">
        <f t="shared" si="4"/>
        <v>26.501582896049264</v>
      </c>
      <c r="P17" s="30">
        <f t="shared" si="5"/>
        <v>0</v>
      </c>
    </row>
    <row r="18" spans="1:16" x14ac:dyDescent="0.2">
      <c r="A18">
        <v>4</v>
      </c>
      <c r="B18" t="s">
        <v>19</v>
      </c>
      <c r="C18" t="s">
        <v>20</v>
      </c>
      <c r="D18" s="7">
        <v>0.20530000000000001</v>
      </c>
      <c r="E18" s="43">
        <f t="shared" si="2"/>
        <v>1.0265</v>
      </c>
      <c r="F18" s="44">
        <f t="shared" si="3"/>
        <v>8.0129233704844083</v>
      </c>
      <c r="G18" s="49"/>
      <c r="H18" s="50">
        <f>+F18</f>
        <v>8.0129233704844083</v>
      </c>
      <c r="I18" s="49"/>
      <c r="J18" s="50"/>
      <c r="K18" s="49"/>
      <c r="L18" s="50"/>
      <c r="M18" s="49"/>
      <c r="N18" s="50"/>
      <c r="O18" s="30">
        <f t="shared" si="4"/>
        <v>8.0129233704844083</v>
      </c>
      <c r="P18" s="30">
        <f t="shared" si="5"/>
        <v>0</v>
      </c>
    </row>
    <row r="19" spans="1:16" x14ac:dyDescent="0.2">
      <c r="A19">
        <v>5</v>
      </c>
      <c r="B19" t="s">
        <v>21</v>
      </c>
      <c r="C19" t="s">
        <v>20</v>
      </c>
      <c r="D19" s="7">
        <v>0.43390000000000001</v>
      </c>
      <c r="E19" s="43">
        <f t="shared" si="2"/>
        <v>2.1695000000000002</v>
      </c>
      <c r="F19" s="44">
        <f t="shared" si="3"/>
        <v>16.935253046532804</v>
      </c>
      <c r="G19" s="49"/>
      <c r="H19" s="50">
        <f>+F19</f>
        <v>16.935253046532804</v>
      </c>
      <c r="I19" s="49"/>
      <c r="J19" s="50"/>
      <c r="K19" s="49"/>
      <c r="L19" s="50"/>
      <c r="M19" s="49"/>
      <c r="N19" s="50"/>
      <c r="O19" s="30">
        <f t="shared" si="4"/>
        <v>16.935253046532804</v>
      </c>
      <c r="P19" s="30">
        <f t="shared" si="5"/>
        <v>0</v>
      </c>
    </row>
    <row r="20" spans="1:16" x14ac:dyDescent="0.2">
      <c r="A20">
        <v>6</v>
      </c>
      <c r="B20" t="s">
        <v>22</v>
      </c>
      <c r="C20" t="s">
        <v>23</v>
      </c>
      <c r="D20" s="7">
        <v>0.61480000000000001</v>
      </c>
      <c r="E20" s="43">
        <f t="shared" si="2"/>
        <v>3.0739999999999998</v>
      </c>
      <c r="F20" s="44">
        <f t="shared" si="3"/>
        <v>23.995836766555357</v>
      </c>
      <c r="G20" s="49"/>
      <c r="H20" s="50">
        <v>9</v>
      </c>
      <c r="I20" s="49">
        <f>+F20-H20</f>
        <v>14.995836766555357</v>
      </c>
      <c r="J20" s="50"/>
      <c r="K20" s="49"/>
      <c r="L20" s="50"/>
      <c r="M20" s="49"/>
      <c r="N20" s="50"/>
      <c r="O20" s="30">
        <f t="shared" si="4"/>
        <v>23.995836766555357</v>
      </c>
      <c r="P20" s="30">
        <f t="shared" si="5"/>
        <v>0</v>
      </c>
    </row>
    <row r="21" spans="1:16" x14ac:dyDescent="0.2">
      <c r="A21">
        <v>7</v>
      </c>
      <c r="B21" t="s">
        <v>24</v>
      </c>
      <c r="C21" t="s">
        <v>25</v>
      </c>
      <c r="D21" s="7">
        <v>0.31780000000000003</v>
      </c>
      <c r="E21" s="43">
        <f t="shared" si="2"/>
        <v>1.5890000000000002</v>
      </c>
      <c r="F21" s="44">
        <f t="shared" si="3"/>
        <v>12.403833644130273</v>
      </c>
      <c r="G21" s="49"/>
      <c r="H21" s="50"/>
      <c r="I21" s="49">
        <v>12.403833644130273</v>
      </c>
      <c r="J21" s="50"/>
      <c r="K21" s="49"/>
      <c r="L21" s="50"/>
      <c r="M21" s="49"/>
      <c r="N21" s="50"/>
      <c r="O21" s="30">
        <f t="shared" si="4"/>
        <v>12.403833644130273</v>
      </c>
      <c r="P21" s="30">
        <f t="shared" si="5"/>
        <v>0</v>
      </c>
    </row>
    <row r="22" spans="1:16" x14ac:dyDescent="0.2">
      <c r="A22">
        <v>8</v>
      </c>
      <c r="B22" t="s">
        <v>26</v>
      </c>
      <c r="C22" t="s">
        <v>25</v>
      </c>
      <c r="D22" s="7">
        <v>0.3357</v>
      </c>
      <c r="E22" s="43">
        <f t="shared" si="2"/>
        <v>1.6785000000000001</v>
      </c>
      <c r="F22" s="44">
        <f t="shared" si="3"/>
        <v>13.102476256559259</v>
      </c>
      <c r="G22" s="49"/>
      <c r="H22" s="50"/>
      <c r="I22" s="49">
        <v>13.102476256559259</v>
      </c>
      <c r="J22" s="50"/>
      <c r="K22" s="49"/>
      <c r="L22" s="50"/>
      <c r="M22" s="49"/>
      <c r="N22" s="50"/>
      <c r="O22" s="30">
        <f t="shared" si="4"/>
        <v>13.102476256559259</v>
      </c>
      <c r="P22" s="30">
        <f t="shared" si="5"/>
        <v>0</v>
      </c>
    </row>
    <row r="23" spans="1:16" x14ac:dyDescent="0.2">
      <c r="A23">
        <v>9</v>
      </c>
      <c r="B23" t="s">
        <v>27</v>
      </c>
      <c r="C23" t="s">
        <v>25</v>
      </c>
      <c r="D23" s="7">
        <v>0.2712</v>
      </c>
      <c r="E23" s="43">
        <f t="shared" si="2"/>
        <v>1.3559999999999999</v>
      </c>
      <c r="F23" s="44">
        <f t="shared" si="3"/>
        <v>10.585021033002297</v>
      </c>
      <c r="G23" s="49"/>
      <c r="H23" s="50"/>
      <c r="I23" s="49">
        <v>10.585021033002297</v>
      </c>
      <c r="J23" s="50"/>
      <c r="K23" s="49"/>
      <c r="L23" s="50"/>
      <c r="M23" s="49"/>
      <c r="N23" s="50"/>
      <c r="O23" s="30">
        <f t="shared" si="4"/>
        <v>10.585021033002297</v>
      </c>
      <c r="P23" s="30">
        <f t="shared" si="5"/>
        <v>0</v>
      </c>
    </row>
    <row r="24" spans="1:16" x14ac:dyDescent="0.2">
      <c r="A24">
        <v>10</v>
      </c>
      <c r="B24" t="s">
        <v>28</v>
      </c>
      <c r="C24" t="s">
        <v>25</v>
      </c>
      <c r="D24" s="7">
        <v>0.11509999999999999</v>
      </c>
      <c r="E24" s="43">
        <f t="shared" si="2"/>
        <v>0.57550000000000001</v>
      </c>
      <c r="F24" s="44">
        <f t="shared" si="3"/>
        <v>4.4923890888590128</v>
      </c>
      <c r="G24" s="49"/>
      <c r="H24" s="50"/>
      <c r="I24" s="49">
        <v>4.4923890888590128</v>
      </c>
      <c r="J24" s="50"/>
      <c r="K24" s="49"/>
      <c r="L24" s="50"/>
      <c r="M24" s="49"/>
      <c r="N24" s="50"/>
      <c r="O24" s="30">
        <f t="shared" si="4"/>
        <v>4.4923890888590128</v>
      </c>
      <c r="P24" s="30">
        <f t="shared" si="5"/>
        <v>0</v>
      </c>
    </row>
    <row r="25" spans="1:16" x14ac:dyDescent="0.2">
      <c r="A25">
        <v>11</v>
      </c>
      <c r="B25" t="s">
        <v>29</v>
      </c>
      <c r="C25" t="s">
        <v>25</v>
      </c>
      <c r="D25" s="7">
        <v>7.2099999999999997E-2</v>
      </c>
      <c r="E25" s="43">
        <f t="shared" si="2"/>
        <v>0.36049999999999999</v>
      </c>
      <c r="F25" s="44">
        <f t="shared" si="3"/>
        <v>2.8140856064877049</v>
      </c>
      <c r="G25" s="49"/>
      <c r="H25" s="50"/>
      <c r="I25" s="49">
        <v>2.8140856064877049</v>
      </c>
      <c r="J25" s="50"/>
      <c r="K25" s="49"/>
      <c r="L25" s="50"/>
      <c r="M25" s="49"/>
      <c r="N25" s="50"/>
      <c r="O25" s="30">
        <f t="shared" si="4"/>
        <v>2.8140856064877049</v>
      </c>
      <c r="P25" s="30">
        <f t="shared" si="5"/>
        <v>0</v>
      </c>
    </row>
    <row r="26" spans="1:16" x14ac:dyDescent="0.2">
      <c r="A26">
        <v>12</v>
      </c>
      <c r="B26" t="s">
        <v>30</v>
      </c>
      <c r="C26" t="s">
        <v>25</v>
      </c>
      <c r="D26" s="7">
        <v>0.1333</v>
      </c>
      <c r="E26" s="43">
        <f t="shared" si="2"/>
        <v>0.66649999999999998</v>
      </c>
      <c r="F26" s="44">
        <f t="shared" si="3"/>
        <v>5.2027407953510556</v>
      </c>
      <c r="G26" s="49"/>
      <c r="H26" s="50"/>
      <c r="I26" s="49">
        <v>1.6</v>
      </c>
      <c r="J26" s="50"/>
      <c r="K26" s="49"/>
      <c r="L26" s="50"/>
      <c r="M26" s="49"/>
      <c r="N26" s="50"/>
      <c r="O26" s="30">
        <f t="shared" si="4"/>
        <v>1.6</v>
      </c>
      <c r="P26" s="30">
        <f t="shared" si="5"/>
        <v>3.6027407953510555</v>
      </c>
    </row>
    <row r="27" spans="1:16" x14ac:dyDescent="0.2">
      <c r="A27">
        <v>13</v>
      </c>
      <c r="B27" t="s">
        <v>31</v>
      </c>
      <c r="C27" t="s">
        <v>25</v>
      </c>
      <c r="D27" s="7">
        <v>6.0000000000000001E-3</v>
      </c>
      <c r="E27" s="43">
        <f t="shared" si="2"/>
        <v>0.03</v>
      </c>
      <c r="F27" s="44">
        <f t="shared" si="3"/>
        <v>0.23418188126111278</v>
      </c>
      <c r="G27" s="49"/>
      <c r="H27" s="50"/>
      <c r="I27" s="44">
        <f t="shared" ref="I27" si="6">+G27*$G$7</f>
        <v>0</v>
      </c>
      <c r="J27" s="50"/>
      <c r="K27" s="49"/>
      <c r="L27" s="50"/>
      <c r="M27" s="49"/>
      <c r="N27" s="50"/>
      <c r="O27" s="30">
        <f t="shared" si="4"/>
        <v>0</v>
      </c>
      <c r="P27" s="30">
        <f t="shared" si="5"/>
        <v>0.23418188126111278</v>
      </c>
    </row>
    <row r="28" spans="1:16" x14ac:dyDescent="0.2">
      <c r="E28" s="43">
        <f t="shared" si="2"/>
        <v>0</v>
      </c>
      <c r="F28" s="44">
        <f t="shared" si="3"/>
        <v>0</v>
      </c>
      <c r="G28" s="49"/>
      <c r="H28" s="50"/>
      <c r="I28" s="49"/>
      <c r="J28" s="50"/>
      <c r="K28" s="49"/>
      <c r="L28" s="50"/>
      <c r="M28" s="49"/>
      <c r="N28" s="50"/>
      <c r="O28" s="30">
        <f t="shared" si="4"/>
        <v>0</v>
      </c>
    </row>
    <row r="29" spans="1:16" x14ac:dyDescent="0.2">
      <c r="E29" s="43">
        <f t="shared" si="2"/>
        <v>0</v>
      </c>
      <c r="F29" s="44">
        <f t="shared" si="3"/>
        <v>0</v>
      </c>
      <c r="G29" s="49"/>
      <c r="H29" s="50"/>
      <c r="I29" s="49"/>
      <c r="J29" s="50"/>
      <c r="K29" s="49"/>
      <c r="L29" s="50"/>
      <c r="M29" s="49"/>
      <c r="N29" s="50"/>
      <c r="O29" s="30">
        <f t="shared" si="4"/>
        <v>0</v>
      </c>
    </row>
    <row r="30" spans="1:16" x14ac:dyDescent="0.2">
      <c r="E30" s="43">
        <f t="shared" si="2"/>
        <v>0</v>
      </c>
      <c r="F30" s="44">
        <f t="shared" si="3"/>
        <v>0</v>
      </c>
      <c r="G30" s="49"/>
      <c r="H30" s="50"/>
      <c r="I30" s="49"/>
      <c r="J30" s="50"/>
      <c r="K30" s="49"/>
      <c r="L30" s="50"/>
      <c r="M30" s="49"/>
      <c r="N30" s="50"/>
    </row>
    <row r="31" spans="1:16" x14ac:dyDescent="0.2">
      <c r="E31" s="43">
        <f t="shared" si="2"/>
        <v>0</v>
      </c>
      <c r="F31" s="44">
        <f t="shared" si="3"/>
        <v>0</v>
      </c>
      <c r="G31" s="49"/>
      <c r="H31" s="50"/>
      <c r="I31" s="49"/>
      <c r="J31" s="50"/>
      <c r="K31" s="49"/>
      <c r="L31" s="50"/>
      <c r="M31" s="49"/>
      <c r="N31" s="50"/>
    </row>
    <row r="32" spans="1:16" x14ac:dyDescent="0.2">
      <c r="E32" s="43">
        <f t="shared" si="2"/>
        <v>0</v>
      </c>
      <c r="F32" s="44">
        <f t="shared" si="3"/>
        <v>0</v>
      </c>
      <c r="G32" s="49"/>
      <c r="H32" s="50"/>
      <c r="I32" s="49"/>
      <c r="J32" s="50"/>
      <c r="K32" s="49"/>
      <c r="L32" s="50"/>
      <c r="M32" s="49"/>
      <c r="N32" s="50"/>
    </row>
    <row r="33" spans="1:14" x14ac:dyDescent="0.2">
      <c r="E33" s="43">
        <f t="shared" si="2"/>
        <v>0</v>
      </c>
      <c r="F33" s="44">
        <f t="shared" si="3"/>
        <v>0</v>
      </c>
      <c r="G33" s="49"/>
      <c r="H33" s="50"/>
      <c r="I33" s="49"/>
      <c r="J33" s="50"/>
      <c r="K33" s="49"/>
      <c r="L33" s="50"/>
      <c r="M33" s="49"/>
      <c r="N33" s="50"/>
    </row>
    <row r="34" spans="1:14" x14ac:dyDescent="0.2">
      <c r="E34" s="43">
        <f t="shared" si="2"/>
        <v>0</v>
      </c>
      <c r="F34" s="44">
        <f t="shared" si="3"/>
        <v>0</v>
      </c>
      <c r="G34" s="49"/>
      <c r="H34" s="50"/>
      <c r="I34" s="49"/>
      <c r="J34" s="50"/>
      <c r="K34" s="49"/>
      <c r="L34" s="50"/>
      <c r="M34" s="49"/>
      <c r="N34" s="50"/>
    </row>
    <row r="35" spans="1:14" x14ac:dyDescent="0.2">
      <c r="E35" s="43">
        <f t="shared" si="2"/>
        <v>0</v>
      </c>
      <c r="F35" s="44">
        <f t="shared" si="3"/>
        <v>0</v>
      </c>
      <c r="G35" s="49"/>
      <c r="H35" s="50"/>
      <c r="I35" s="49"/>
      <c r="J35" s="50"/>
      <c r="K35" s="49"/>
      <c r="L35" s="50"/>
      <c r="M35" s="49"/>
      <c r="N35" s="50"/>
    </row>
    <row r="36" spans="1:14" x14ac:dyDescent="0.2">
      <c r="E36" s="12"/>
      <c r="F36" s="12"/>
      <c r="G36" s="49"/>
      <c r="H36" s="50"/>
      <c r="I36" s="49"/>
      <c r="J36" s="50"/>
      <c r="K36" s="49"/>
      <c r="L36" s="50"/>
      <c r="M36" s="49"/>
      <c r="N36" s="50"/>
    </row>
    <row r="38" spans="1:14" x14ac:dyDescent="0.2">
      <c r="A38" s="36" t="s">
        <v>76</v>
      </c>
      <c r="B38" s="36" t="s">
        <v>60</v>
      </c>
      <c r="C38" s="36" t="s">
        <v>78</v>
      </c>
      <c r="D38" s="36" t="s">
        <v>79</v>
      </c>
    </row>
    <row r="39" spans="1:14" x14ac:dyDescent="0.2">
      <c r="A39" t="s">
        <v>16</v>
      </c>
      <c r="B39" s="42">
        <f>+F15+F16+F17</f>
        <v>82.221258510776693</v>
      </c>
      <c r="C39">
        <f>+B39/60</f>
        <v>1.3703543085129448</v>
      </c>
      <c r="D39">
        <f>+ROUNDUP(C39,0)</f>
        <v>2</v>
      </c>
    </row>
    <row r="40" spans="1:14" x14ac:dyDescent="0.2">
      <c r="A40" t="s">
        <v>20</v>
      </c>
      <c r="B40" s="42">
        <f>+F18+F19</f>
        <v>24.948176417017212</v>
      </c>
      <c r="C40">
        <f t="shared" ref="C40:C42" si="7">+B40/60</f>
        <v>0.41580294028362019</v>
      </c>
      <c r="D40">
        <f t="shared" ref="D40:D42" si="8">+ROUNDUP(C40,0)</f>
        <v>1</v>
      </c>
    </row>
    <row r="41" spans="1:14" x14ac:dyDescent="0.2">
      <c r="A41" t="s">
        <v>23</v>
      </c>
      <c r="B41" s="42">
        <f>+F20</f>
        <v>23.995836766555357</v>
      </c>
      <c r="C41">
        <f t="shared" si="7"/>
        <v>0.39993061277592262</v>
      </c>
      <c r="D41">
        <f t="shared" si="8"/>
        <v>1</v>
      </c>
    </row>
    <row r="42" spans="1:14" x14ac:dyDescent="0.2">
      <c r="A42" s="36" t="s">
        <v>77</v>
      </c>
      <c r="B42" s="34">
        <v>81.400000000000006</v>
      </c>
      <c r="C42">
        <f t="shared" si="7"/>
        <v>1.3566666666666667</v>
      </c>
      <c r="D42">
        <f t="shared" si="8"/>
        <v>2</v>
      </c>
    </row>
    <row r="46" spans="1:14" x14ac:dyDescent="0.2">
      <c r="A46" s="35" t="s">
        <v>88</v>
      </c>
      <c r="B46" s="35"/>
    </row>
    <row r="47" spans="1:14" ht="32" x14ac:dyDescent="0.2">
      <c r="A47" s="53" t="s">
        <v>82</v>
      </c>
      <c r="B47" s="53" t="s">
        <v>83</v>
      </c>
      <c r="C47" s="54" t="s">
        <v>84</v>
      </c>
    </row>
    <row r="50" spans="1:3" x14ac:dyDescent="0.2">
      <c r="A50" s="58" t="s">
        <v>36</v>
      </c>
      <c r="B50" s="58"/>
      <c r="C50" s="55" t="s">
        <v>85</v>
      </c>
    </row>
    <row r="51" spans="1:3" x14ac:dyDescent="0.2">
      <c r="A51" s="58"/>
      <c r="B51" s="58"/>
    </row>
  </sheetData>
  <mergeCells count="1">
    <mergeCell ref="A50:B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C670-43F1-4A89-BA6C-A0401ED57B84}">
  <dimension ref="A1:M91"/>
  <sheetViews>
    <sheetView tabSelected="1" workbookViewId="0">
      <selection activeCell="D16" sqref="D16"/>
    </sheetView>
  </sheetViews>
  <sheetFormatPr baseColWidth="10" defaultColWidth="10.83203125" defaultRowHeight="15" x14ac:dyDescent="0.2"/>
  <cols>
    <col min="2" max="2" width="14.83203125" bestFit="1" customWidth="1"/>
    <col min="3" max="3" width="14.5" customWidth="1"/>
    <col min="4" max="4" width="12.83203125" bestFit="1" customWidth="1"/>
    <col min="5" max="5" width="13" customWidth="1"/>
    <col min="6" max="6" width="47" bestFit="1" customWidth="1"/>
    <col min="7" max="7" width="13.5" customWidth="1"/>
  </cols>
  <sheetData>
    <row r="1" spans="1:13" x14ac:dyDescent="0.2">
      <c r="A1" t="s">
        <v>0</v>
      </c>
      <c r="B1" t="s">
        <v>2</v>
      </c>
      <c r="C1" s="35" t="s">
        <v>42</v>
      </c>
      <c r="D1" s="35" t="s">
        <v>43</v>
      </c>
      <c r="E1" s="35" t="s">
        <v>44</v>
      </c>
      <c r="F1" s="35" t="s">
        <v>10</v>
      </c>
      <c r="G1" s="35" t="s">
        <v>11</v>
      </c>
      <c r="H1" s="35" t="s">
        <v>55</v>
      </c>
      <c r="M1" s="36" t="s">
        <v>69</v>
      </c>
    </row>
    <row r="2" spans="1:13" x14ac:dyDescent="0.2">
      <c r="A2" s="1">
        <v>14921</v>
      </c>
      <c r="B2" t="s">
        <v>45</v>
      </c>
      <c r="C2" t="s">
        <v>46</v>
      </c>
      <c r="D2" t="s">
        <v>47</v>
      </c>
      <c r="E2" s="34">
        <v>1</v>
      </c>
      <c r="F2" t="s">
        <v>15</v>
      </c>
      <c r="G2" t="s">
        <v>16</v>
      </c>
      <c r="H2" s="7">
        <v>0.90980000000000005</v>
      </c>
      <c r="M2" s="36" t="s">
        <v>70</v>
      </c>
    </row>
    <row r="3" spans="1:13" x14ac:dyDescent="0.2">
      <c r="A3" s="1">
        <v>14921</v>
      </c>
      <c r="B3" t="s">
        <v>45</v>
      </c>
      <c r="C3" t="s">
        <v>46</v>
      </c>
      <c r="D3" t="s">
        <v>47</v>
      </c>
      <c r="E3" s="34">
        <v>2</v>
      </c>
      <c r="F3" t="s">
        <v>17</v>
      </c>
      <c r="G3" t="s">
        <v>16</v>
      </c>
      <c r="H3" s="7">
        <v>0.51780000000000004</v>
      </c>
      <c r="M3" s="36" t="s">
        <v>71</v>
      </c>
    </row>
    <row r="4" spans="1:13" x14ac:dyDescent="0.2">
      <c r="A4" s="1">
        <v>14921</v>
      </c>
      <c r="B4" t="s">
        <v>45</v>
      </c>
      <c r="C4" t="s">
        <v>46</v>
      </c>
      <c r="D4" t="s">
        <v>47</v>
      </c>
      <c r="E4" s="34">
        <v>3</v>
      </c>
      <c r="F4" t="s">
        <v>18</v>
      </c>
      <c r="G4" t="s">
        <v>16</v>
      </c>
      <c r="H4" s="7">
        <v>0.67900000000000005</v>
      </c>
      <c r="M4" s="36" t="s">
        <v>72</v>
      </c>
    </row>
    <row r="5" spans="1:13" x14ac:dyDescent="0.2">
      <c r="A5" s="1">
        <v>14921</v>
      </c>
      <c r="B5" t="s">
        <v>45</v>
      </c>
      <c r="C5" t="s">
        <v>46</v>
      </c>
      <c r="D5" t="s">
        <v>47</v>
      </c>
      <c r="E5" s="34">
        <v>4</v>
      </c>
      <c r="F5" t="s">
        <v>19</v>
      </c>
      <c r="G5" t="s">
        <v>20</v>
      </c>
      <c r="H5" s="7">
        <v>0.20530000000000001</v>
      </c>
      <c r="M5" s="36" t="s">
        <v>73</v>
      </c>
    </row>
    <row r="6" spans="1:13" x14ac:dyDescent="0.2">
      <c r="A6" s="1">
        <v>14921</v>
      </c>
      <c r="B6" t="s">
        <v>45</v>
      </c>
      <c r="C6" t="s">
        <v>46</v>
      </c>
      <c r="D6" t="s">
        <v>47</v>
      </c>
      <c r="E6" s="34">
        <v>5</v>
      </c>
      <c r="F6" t="s">
        <v>21</v>
      </c>
      <c r="G6" t="s">
        <v>20</v>
      </c>
      <c r="H6" s="7">
        <v>0.43390000000000001</v>
      </c>
      <c r="M6" s="36" t="s">
        <v>74</v>
      </c>
    </row>
    <row r="7" spans="1:13" x14ac:dyDescent="0.2">
      <c r="A7" s="1">
        <v>14921</v>
      </c>
      <c r="B7" t="s">
        <v>45</v>
      </c>
      <c r="C7" t="s">
        <v>46</v>
      </c>
      <c r="D7" t="s">
        <v>47</v>
      </c>
      <c r="E7" s="34">
        <v>6</v>
      </c>
      <c r="F7" t="s">
        <v>22</v>
      </c>
      <c r="G7" t="s">
        <v>23</v>
      </c>
      <c r="H7" s="7">
        <v>0.61480000000000001</v>
      </c>
      <c r="M7" s="36" t="s">
        <v>75</v>
      </c>
    </row>
    <row r="8" spans="1:13" x14ac:dyDescent="0.2">
      <c r="A8" s="1">
        <v>14921</v>
      </c>
      <c r="B8" t="s">
        <v>45</v>
      </c>
      <c r="C8" t="s">
        <v>46</v>
      </c>
      <c r="D8" t="s">
        <v>47</v>
      </c>
      <c r="E8" s="34">
        <v>7</v>
      </c>
      <c r="F8" t="s">
        <v>24</v>
      </c>
      <c r="G8" t="s">
        <v>25</v>
      </c>
      <c r="H8" s="7">
        <v>0.31780000000000003</v>
      </c>
    </row>
    <row r="9" spans="1:13" x14ac:dyDescent="0.2">
      <c r="A9" s="1">
        <v>14921</v>
      </c>
      <c r="B9" t="s">
        <v>45</v>
      </c>
      <c r="C9" t="s">
        <v>46</v>
      </c>
      <c r="D9" t="s">
        <v>47</v>
      </c>
      <c r="E9" s="34">
        <v>8</v>
      </c>
      <c r="F9" t="s">
        <v>26</v>
      </c>
      <c r="G9" t="s">
        <v>25</v>
      </c>
      <c r="H9" s="7">
        <v>0.3357</v>
      </c>
    </row>
    <row r="10" spans="1:13" x14ac:dyDescent="0.2">
      <c r="A10" s="1">
        <v>14921</v>
      </c>
      <c r="B10" t="s">
        <v>45</v>
      </c>
      <c r="C10" t="s">
        <v>46</v>
      </c>
      <c r="D10" t="s">
        <v>47</v>
      </c>
      <c r="E10" s="34">
        <v>9</v>
      </c>
      <c r="F10" t="s">
        <v>27</v>
      </c>
      <c r="G10" t="s">
        <v>25</v>
      </c>
      <c r="H10" s="7">
        <v>0.2712</v>
      </c>
    </row>
    <row r="11" spans="1:13" x14ac:dyDescent="0.2">
      <c r="A11" s="1">
        <v>14921</v>
      </c>
      <c r="B11" t="s">
        <v>45</v>
      </c>
      <c r="C11" t="s">
        <v>46</v>
      </c>
      <c r="D11" t="s">
        <v>47</v>
      </c>
      <c r="E11" s="34">
        <v>10</v>
      </c>
      <c r="F11" t="s">
        <v>28</v>
      </c>
      <c r="G11" t="s">
        <v>25</v>
      </c>
      <c r="H11" s="7">
        <v>0.11509999999999999</v>
      </c>
    </row>
    <row r="12" spans="1:13" x14ac:dyDescent="0.2">
      <c r="A12" s="1">
        <v>14921</v>
      </c>
      <c r="B12" t="s">
        <v>45</v>
      </c>
      <c r="C12" t="s">
        <v>46</v>
      </c>
      <c r="D12" t="s">
        <v>47</v>
      </c>
      <c r="E12" s="34">
        <v>11</v>
      </c>
      <c r="F12" t="s">
        <v>29</v>
      </c>
      <c r="G12" t="s">
        <v>25</v>
      </c>
      <c r="H12" s="7">
        <v>7.2099999999999997E-2</v>
      </c>
    </row>
    <row r="13" spans="1:13" x14ac:dyDescent="0.2">
      <c r="A13" s="1">
        <v>14921</v>
      </c>
      <c r="B13" t="s">
        <v>45</v>
      </c>
      <c r="C13" t="s">
        <v>46</v>
      </c>
      <c r="D13" t="s">
        <v>47</v>
      </c>
      <c r="E13" s="34">
        <v>12</v>
      </c>
      <c r="F13" t="s">
        <v>30</v>
      </c>
      <c r="G13" t="s">
        <v>25</v>
      </c>
      <c r="H13" s="7">
        <v>0.1333</v>
      </c>
    </row>
    <row r="14" spans="1:13" x14ac:dyDescent="0.2">
      <c r="A14" s="1">
        <v>14921</v>
      </c>
      <c r="B14" t="s">
        <v>45</v>
      </c>
      <c r="C14" t="s">
        <v>46</v>
      </c>
      <c r="D14" t="s">
        <v>47</v>
      </c>
      <c r="E14" s="34">
        <v>13</v>
      </c>
      <c r="F14" t="s">
        <v>31</v>
      </c>
      <c r="G14" t="s">
        <v>25</v>
      </c>
      <c r="H14" s="7">
        <v>6.0000000000000001E-3</v>
      </c>
    </row>
    <row r="15" spans="1:13" x14ac:dyDescent="0.2">
      <c r="A15" s="1">
        <v>14921</v>
      </c>
      <c r="B15" s="36" t="s">
        <v>45</v>
      </c>
      <c r="C15" s="36" t="s">
        <v>46</v>
      </c>
      <c r="D15" s="36" t="s">
        <v>48</v>
      </c>
      <c r="E15" s="34">
        <v>1</v>
      </c>
      <c r="F15" s="36" t="s">
        <v>51</v>
      </c>
      <c r="G15" s="36" t="s">
        <v>25</v>
      </c>
      <c r="H15" s="7">
        <v>0.3</v>
      </c>
    </row>
    <row r="16" spans="1:13" x14ac:dyDescent="0.2">
      <c r="A16" s="1">
        <v>14921</v>
      </c>
      <c r="B16" s="36" t="s">
        <v>45</v>
      </c>
      <c r="C16" s="36" t="s">
        <v>46</v>
      </c>
      <c r="D16" s="36" t="s">
        <v>48</v>
      </c>
      <c r="E16" s="34">
        <v>2</v>
      </c>
      <c r="F16" s="36" t="s">
        <v>49</v>
      </c>
      <c r="G16" s="36" t="s">
        <v>50</v>
      </c>
      <c r="H16" s="7">
        <v>0.4</v>
      </c>
    </row>
    <row r="17" spans="1:8" x14ac:dyDescent="0.2">
      <c r="A17" s="1">
        <v>14921</v>
      </c>
      <c r="B17" s="36" t="s">
        <v>45</v>
      </c>
      <c r="C17" s="36" t="s">
        <v>46</v>
      </c>
      <c r="D17" s="36" t="s">
        <v>48</v>
      </c>
      <c r="E17" s="34">
        <v>3</v>
      </c>
      <c r="F17" s="36" t="s">
        <v>52</v>
      </c>
      <c r="G17" s="36" t="s">
        <v>53</v>
      </c>
      <c r="H17" s="7">
        <v>0.4</v>
      </c>
    </row>
    <row r="18" spans="1:8" x14ac:dyDescent="0.2">
      <c r="A18" s="1">
        <v>14921</v>
      </c>
      <c r="B18" s="36" t="s">
        <v>45</v>
      </c>
      <c r="C18" s="36" t="s">
        <v>46</v>
      </c>
      <c r="D18" s="36" t="s">
        <v>48</v>
      </c>
      <c r="E18" s="34">
        <v>4</v>
      </c>
      <c r="F18" s="36" t="s">
        <v>54</v>
      </c>
      <c r="G18" s="36" t="s">
        <v>25</v>
      </c>
      <c r="H18" s="7">
        <v>0.4</v>
      </c>
    </row>
    <row r="19" spans="1:8" x14ac:dyDescent="0.2">
      <c r="H19" s="7"/>
    </row>
    <row r="20" spans="1:8" x14ac:dyDescent="0.2">
      <c r="H20" s="7"/>
    </row>
    <row r="21" spans="1:8" x14ac:dyDescent="0.2">
      <c r="H21" s="7"/>
    </row>
    <row r="22" spans="1:8" x14ac:dyDescent="0.2">
      <c r="H22" s="7"/>
    </row>
    <row r="23" spans="1:8" x14ac:dyDescent="0.2">
      <c r="H23" s="7"/>
    </row>
    <row r="24" spans="1:8" x14ac:dyDescent="0.2">
      <c r="H24" s="7"/>
    </row>
    <row r="25" spans="1:8" x14ac:dyDescent="0.2">
      <c r="H25" s="7"/>
    </row>
    <row r="26" spans="1:8" x14ac:dyDescent="0.2">
      <c r="H26" s="7"/>
    </row>
    <row r="27" spans="1:8" x14ac:dyDescent="0.2">
      <c r="H27" s="7"/>
    </row>
    <row r="28" spans="1:8" x14ac:dyDescent="0.2">
      <c r="H28" s="7"/>
    </row>
    <row r="29" spans="1:8" x14ac:dyDescent="0.2">
      <c r="H29" s="7"/>
    </row>
    <row r="30" spans="1:8" x14ac:dyDescent="0.2">
      <c r="H30" s="7"/>
    </row>
    <row r="31" spans="1:8" x14ac:dyDescent="0.2">
      <c r="H31" s="7"/>
    </row>
    <row r="32" spans="1:8" x14ac:dyDescent="0.2">
      <c r="H32" s="7"/>
    </row>
    <row r="33" spans="8:8" x14ac:dyDescent="0.2">
      <c r="H33" s="7"/>
    </row>
    <row r="34" spans="8:8" x14ac:dyDescent="0.2">
      <c r="H34" s="7"/>
    </row>
    <row r="35" spans="8:8" x14ac:dyDescent="0.2">
      <c r="H35" s="7"/>
    </row>
    <row r="36" spans="8:8" x14ac:dyDescent="0.2">
      <c r="H36" s="7"/>
    </row>
    <row r="37" spans="8:8" x14ac:dyDescent="0.2">
      <c r="H37" s="7"/>
    </row>
    <row r="38" spans="8:8" x14ac:dyDescent="0.2">
      <c r="H38" s="7"/>
    </row>
    <row r="39" spans="8:8" x14ac:dyDescent="0.2">
      <c r="H39" s="7"/>
    </row>
    <row r="40" spans="8:8" x14ac:dyDescent="0.2">
      <c r="H40" s="7"/>
    </row>
    <row r="41" spans="8:8" x14ac:dyDescent="0.2">
      <c r="H41" s="7"/>
    </row>
    <row r="42" spans="8:8" x14ac:dyDescent="0.2">
      <c r="H42" s="7"/>
    </row>
    <row r="43" spans="8:8" x14ac:dyDescent="0.2">
      <c r="H43" s="7"/>
    </row>
    <row r="44" spans="8:8" x14ac:dyDescent="0.2">
      <c r="H44" s="7"/>
    </row>
    <row r="45" spans="8:8" x14ac:dyDescent="0.2">
      <c r="H45" s="7"/>
    </row>
    <row r="46" spans="8:8" x14ac:dyDescent="0.2">
      <c r="H46" s="7"/>
    </row>
    <row r="47" spans="8:8" x14ac:dyDescent="0.2">
      <c r="H47" s="7"/>
    </row>
    <row r="48" spans="8:8" x14ac:dyDescent="0.2">
      <c r="H48" s="7"/>
    </row>
    <row r="49" spans="8:8" x14ac:dyDescent="0.2">
      <c r="H49" s="7"/>
    </row>
    <row r="50" spans="8:8" x14ac:dyDescent="0.2">
      <c r="H50" s="7"/>
    </row>
    <row r="51" spans="8:8" x14ac:dyDescent="0.2">
      <c r="H51" s="7"/>
    </row>
    <row r="52" spans="8:8" x14ac:dyDescent="0.2">
      <c r="H52" s="7"/>
    </row>
    <row r="53" spans="8:8" x14ac:dyDescent="0.2">
      <c r="H53" s="7"/>
    </row>
    <row r="54" spans="8:8" x14ac:dyDescent="0.2">
      <c r="H54" s="7"/>
    </row>
    <row r="55" spans="8:8" x14ac:dyDescent="0.2">
      <c r="H55" s="7"/>
    </row>
    <row r="56" spans="8:8" x14ac:dyDescent="0.2">
      <c r="H56" s="7"/>
    </row>
    <row r="57" spans="8:8" x14ac:dyDescent="0.2">
      <c r="H57" s="7"/>
    </row>
    <row r="58" spans="8:8" x14ac:dyDescent="0.2">
      <c r="H58" s="7"/>
    </row>
    <row r="59" spans="8:8" x14ac:dyDescent="0.2">
      <c r="H59" s="7"/>
    </row>
    <row r="60" spans="8:8" x14ac:dyDescent="0.2">
      <c r="H60" s="7"/>
    </row>
    <row r="61" spans="8:8" x14ac:dyDescent="0.2">
      <c r="H61" s="7"/>
    </row>
    <row r="62" spans="8:8" x14ac:dyDescent="0.2">
      <c r="H62" s="7"/>
    </row>
    <row r="63" spans="8:8" x14ac:dyDescent="0.2">
      <c r="H63" s="7"/>
    </row>
    <row r="64" spans="8:8" x14ac:dyDescent="0.2">
      <c r="H64" s="7"/>
    </row>
    <row r="65" spans="8:8" x14ac:dyDescent="0.2">
      <c r="H65" s="7"/>
    </row>
    <row r="66" spans="8:8" x14ac:dyDescent="0.2">
      <c r="H66" s="7"/>
    </row>
    <row r="67" spans="8:8" x14ac:dyDescent="0.2">
      <c r="H67" s="7"/>
    </row>
    <row r="68" spans="8:8" x14ac:dyDescent="0.2">
      <c r="H68" s="7"/>
    </row>
    <row r="69" spans="8:8" x14ac:dyDescent="0.2">
      <c r="H69" s="7"/>
    </row>
    <row r="70" spans="8:8" x14ac:dyDescent="0.2">
      <c r="H70" s="7"/>
    </row>
    <row r="71" spans="8:8" x14ac:dyDescent="0.2">
      <c r="H71" s="7"/>
    </row>
    <row r="72" spans="8:8" x14ac:dyDescent="0.2">
      <c r="H72" s="7"/>
    </row>
    <row r="73" spans="8:8" x14ac:dyDescent="0.2">
      <c r="H73" s="7"/>
    </row>
    <row r="74" spans="8:8" x14ac:dyDescent="0.2">
      <c r="H74" s="7"/>
    </row>
    <row r="75" spans="8:8" x14ac:dyDescent="0.2">
      <c r="H75" s="7"/>
    </row>
    <row r="76" spans="8:8" x14ac:dyDescent="0.2">
      <c r="H76" s="7"/>
    </row>
    <row r="77" spans="8:8" x14ac:dyDescent="0.2">
      <c r="H77" s="7"/>
    </row>
    <row r="78" spans="8:8" x14ac:dyDescent="0.2">
      <c r="H78" s="7"/>
    </row>
    <row r="79" spans="8:8" x14ac:dyDescent="0.2">
      <c r="H79" s="7"/>
    </row>
    <row r="80" spans="8:8" x14ac:dyDescent="0.2">
      <c r="H80" s="7"/>
    </row>
    <row r="81" spans="8:8" x14ac:dyDescent="0.2">
      <c r="H81" s="7"/>
    </row>
    <row r="82" spans="8:8" x14ac:dyDescent="0.2">
      <c r="H82" s="7"/>
    </row>
    <row r="83" spans="8:8" x14ac:dyDescent="0.2">
      <c r="H83" s="7"/>
    </row>
    <row r="84" spans="8:8" x14ac:dyDescent="0.2">
      <c r="H84" s="7"/>
    </row>
    <row r="85" spans="8:8" x14ac:dyDescent="0.2">
      <c r="H85" s="7"/>
    </row>
    <row r="86" spans="8:8" x14ac:dyDescent="0.2">
      <c r="H86" s="7"/>
    </row>
    <row r="87" spans="8:8" x14ac:dyDescent="0.2">
      <c r="H87" s="7"/>
    </row>
    <row r="88" spans="8:8" x14ac:dyDescent="0.2">
      <c r="H88" s="7"/>
    </row>
    <row r="89" spans="8:8" x14ac:dyDescent="0.2">
      <c r="H89" s="7"/>
    </row>
    <row r="90" spans="8:8" x14ac:dyDescent="0.2">
      <c r="H90" s="7"/>
    </row>
    <row r="91" spans="8:8" x14ac:dyDescent="0.2">
      <c r="H9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5F95D-6F8D-4C1E-A8CA-938FEB9BF313}">
  <dimension ref="A1:R49"/>
  <sheetViews>
    <sheetView zoomScale="80" zoomScaleNormal="80" workbookViewId="0">
      <pane xSplit="5" ySplit="9" topLeftCell="F10" activePane="bottomRight" state="frozen"/>
      <selection pane="topRight"/>
      <selection pane="bottomLeft"/>
      <selection pane="bottomRight" activeCell="M34" sqref="M34"/>
    </sheetView>
  </sheetViews>
  <sheetFormatPr baseColWidth="10" defaultColWidth="11.5" defaultRowHeight="15" x14ac:dyDescent="0.2"/>
  <cols>
    <col min="1" max="1" width="20" bestFit="1" customWidth="1"/>
    <col min="2" max="2" width="48" bestFit="1" customWidth="1"/>
    <col min="3" max="3" width="20" customWidth="1"/>
    <col min="6" max="9" width="8.6640625" customWidth="1"/>
    <col min="10" max="10" width="10.1640625" customWidth="1"/>
  </cols>
  <sheetData>
    <row r="1" spans="1:18" ht="16" thickBot="1" x14ac:dyDescent="0.25">
      <c r="A1" t="s">
        <v>0</v>
      </c>
      <c r="B1" s="1">
        <v>14921</v>
      </c>
      <c r="C1" t="s">
        <v>1</v>
      </c>
      <c r="D1" s="2">
        <v>5</v>
      </c>
    </row>
    <row r="2" spans="1:18" ht="16" thickBot="1" x14ac:dyDescent="0.25">
      <c r="A2" t="s">
        <v>2</v>
      </c>
      <c r="B2" t="s">
        <v>3</v>
      </c>
      <c r="C2" t="s">
        <v>4</v>
      </c>
      <c r="D2" s="3">
        <v>60</v>
      </c>
    </row>
    <row r="3" spans="1:18" ht="16" thickBot="1" x14ac:dyDescent="0.25">
      <c r="C3" t="s">
        <v>5</v>
      </c>
      <c r="D3" s="16">
        <f>+D7</f>
        <v>4.6118000000000006</v>
      </c>
    </row>
    <row r="4" spans="1:18" ht="16" thickBot="1" x14ac:dyDescent="0.25">
      <c r="C4" t="s">
        <v>6</v>
      </c>
      <c r="D4" s="4">
        <f>+(D1*D2)/D3</f>
        <v>65.050522572531321</v>
      </c>
      <c r="H4" s="5"/>
      <c r="N4" s="57" t="s">
        <v>89</v>
      </c>
      <c r="O4">
        <v>64</v>
      </c>
      <c r="P4">
        <v>60000</v>
      </c>
      <c r="Q4">
        <f>+P4*O4</f>
        <v>3840000</v>
      </c>
      <c r="R4">
        <f>+Q4/2</f>
        <v>1920000</v>
      </c>
    </row>
    <row r="5" spans="1:18" ht="16" thickBot="1" x14ac:dyDescent="0.25">
      <c r="C5" t="s">
        <v>7</v>
      </c>
      <c r="D5" s="6">
        <f>+D4*8</f>
        <v>520.40418058025057</v>
      </c>
      <c r="H5" s="5"/>
      <c r="N5" s="57" t="s">
        <v>90</v>
      </c>
      <c r="O5">
        <v>32</v>
      </c>
      <c r="P5">
        <v>60000</v>
      </c>
      <c r="Q5">
        <f>+P5*O5</f>
        <v>1920000</v>
      </c>
    </row>
    <row r="6" spans="1:18" x14ac:dyDescent="0.2">
      <c r="F6" t="s">
        <v>8</v>
      </c>
    </row>
    <row r="7" spans="1:18" ht="16" thickBot="1" x14ac:dyDescent="0.25">
      <c r="D7" s="7">
        <f>SUM(D10:D30)</f>
        <v>4.6118000000000006</v>
      </c>
      <c r="E7" s="5">
        <f>SUM(E10:E30)</f>
        <v>299.99999999999994</v>
      </c>
      <c r="F7" s="7">
        <f>SUM(F10:F30)</f>
        <v>60</v>
      </c>
      <c r="G7" s="7">
        <f t="shared" ref="G7:J7" si="0">SUM(G10:G30)</f>
        <v>90.390303135435175</v>
      </c>
      <c r="H7" s="7">
        <f t="shared" si="0"/>
        <v>73.648483021813604</v>
      </c>
      <c r="I7" s="7">
        <f t="shared" si="0"/>
        <v>75.961213842751192</v>
      </c>
      <c r="J7" s="7">
        <f t="shared" si="0"/>
        <v>0</v>
      </c>
    </row>
    <row r="8" spans="1:18" ht="16" thickBot="1" x14ac:dyDescent="0.25">
      <c r="A8" s="8" t="s">
        <v>9</v>
      </c>
      <c r="B8" s="8" t="s">
        <v>10</v>
      </c>
      <c r="C8" s="8" t="s">
        <v>11</v>
      </c>
      <c r="D8" s="8" t="s">
        <v>12</v>
      </c>
      <c r="E8" s="9" t="s">
        <v>13</v>
      </c>
      <c r="F8" s="10">
        <v>1</v>
      </c>
      <c r="G8" s="10">
        <v>2</v>
      </c>
      <c r="H8" s="10">
        <v>3</v>
      </c>
      <c r="I8" s="10">
        <v>4</v>
      </c>
      <c r="J8" s="10">
        <v>5</v>
      </c>
    </row>
    <row r="9" spans="1:18" ht="16" thickBo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11" t="s">
        <v>14</v>
      </c>
      <c r="F9" s="11"/>
      <c r="G9" s="11"/>
      <c r="H9" s="11"/>
      <c r="I9" s="11"/>
      <c r="J9" s="11"/>
    </row>
    <row r="10" spans="1:18" ht="17" thickBot="1" x14ac:dyDescent="0.25">
      <c r="A10" s="12">
        <v>1</v>
      </c>
      <c r="B10" s="13" t="s">
        <v>15</v>
      </c>
      <c r="C10" s="14" t="s">
        <v>16</v>
      </c>
      <c r="D10" s="15">
        <v>0.90980000000000005</v>
      </c>
      <c r="E10" s="16">
        <f>+D10*$D$4</f>
        <v>59.182965436488999</v>
      </c>
      <c r="F10" s="16">
        <f>+E10</f>
        <v>59.182965436488999</v>
      </c>
      <c r="G10" s="16"/>
      <c r="H10" s="3"/>
      <c r="I10" s="3"/>
      <c r="J10" s="3"/>
    </row>
    <row r="11" spans="1:18" ht="17" thickBot="1" x14ac:dyDescent="0.25">
      <c r="A11" s="12">
        <v>2</v>
      </c>
      <c r="B11" s="13" t="s">
        <v>17</v>
      </c>
      <c r="C11" s="14" t="s">
        <v>16</v>
      </c>
      <c r="D11" s="15">
        <v>0.51780000000000004</v>
      </c>
      <c r="E11" s="16">
        <f t="shared" ref="E11:E22" si="1">+D11*$D$4</f>
        <v>33.683160588056722</v>
      </c>
      <c r="F11" s="16">
        <f>60-F10</f>
        <v>0.81703456351100101</v>
      </c>
      <c r="G11" s="16">
        <f>+E11-F11</f>
        <v>32.866126024545721</v>
      </c>
      <c r="H11" s="3"/>
      <c r="I11" s="3"/>
      <c r="J11" s="3"/>
    </row>
    <row r="12" spans="1:18" ht="17" thickBot="1" x14ac:dyDescent="0.25">
      <c r="A12" s="12">
        <v>3</v>
      </c>
      <c r="B12" s="13" t="s">
        <v>18</v>
      </c>
      <c r="C12" s="14" t="s">
        <v>16</v>
      </c>
      <c r="D12" s="15">
        <v>0.67900000000000005</v>
      </c>
      <c r="E12" s="16">
        <f t="shared" si="1"/>
        <v>44.169304826748771</v>
      </c>
      <c r="F12" s="3"/>
      <c r="G12" s="16">
        <f>+E12</f>
        <v>44.169304826748771</v>
      </c>
      <c r="H12" s="16"/>
      <c r="I12" s="3"/>
      <c r="J12" s="3"/>
      <c r="O12">
        <v>4527000</v>
      </c>
      <c r="P12">
        <f>+O12/160</f>
        <v>28293.75</v>
      </c>
    </row>
    <row r="13" spans="1:18" ht="17" thickBot="1" x14ac:dyDescent="0.25">
      <c r="A13" s="12">
        <v>4</v>
      </c>
      <c r="B13" s="13" t="s">
        <v>19</v>
      </c>
      <c r="C13" s="17" t="s">
        <v>20</v>
      </c>
      <c r="D13" s="15">
        <v>0.20530000000000001</v>
      </c>
      <c r="E13" s="16">
        <f t="shared" si="1"/>
        <v>13.354872284140681</v>
      </c>
      <c r="F13" s="3"/>
      <c r="G13" s="16">
        <f>+E13</f>
        <v>13.354872284140681</v>
      </c>
      <c r="H13" s="16"/>
      <c r="I13" s="3"/>
      <c r="J13" s="3"/>
    </row>
    <row r="14" spans="1:18" ht="17" thickBot="1" x14ac:dyDescent="0.25">
      <c r="A14" s="12">
        <v>5</v>
      </c>
      <c r="B14" s="13" t="s">
        <v>21</v>
      </c>
      <c r="C14" s="17" t="s">
        <v>20</v>
      </c>
      <c r="D14" s="15">
        <v>0.43390000000000001</v>
      </c>
      <c r="E14" s="16">
        <f t="shared" si="1"/>
        <v>28.22542174422134</v>
      </c>
      <c r="F14" s="3"/>
      <c r="G14" s="3"/>
      <c r="H14" s="16">
        <f>+E14</f>
        <v>28.22542174422134</v>
      </c>
      <c r="I14" s="3"/>
      <c r="J14" s="3"/>
    </row>
    <row r="15" spans="1:18" ht="17" thickBot="1" x14ac:dyDescent="0.25">
      <c r="A15" s="12">
        <v>6</v>
      </c>
      <c r="B15" s="13" t="s">
        <v>22</v>
      </c>
      <c r="C15" s="18" t="s">
        <v>23</v>
      </c>
      <c r="D15" s="15">
        <v>0.61480000000000001</v>
      </c>
      <c r="E15" s="16">
        <f t="shared" si="1"/>
        <v>39.993061277592254</v>
      </c>
      <c r="F15" s="3"/>
      <c r="G15" s="3"/>
      <c r="H15" s="16">
        <f>+E15</f>
        <v>39.993061277592254</v>
      </c>
      <c r="I15" s="16"/>
      <c r="J15" s="3"/>
    </row>
    <row r="16" spans="1:18" ht="17" thickBot="1" x14ac:dyDescent="0.25">
      <c r="A16" s="12">
        <v>7</v>
      </c>
      <c r="B16" s="13" t="s">
        <v>24</v>
      </c>
      <c r="C16" s="19" t="s">
        <v>25</v>
      </c>
      <c r="D16" s="15">
        <v>0.31780000000000003</v>
      </c>
      <c r="E16" s="16">
        <f t="shared" si="1"/>
        <v>20.673056073550455</v>
      </c>
      <c r="F16" s="3"/>
      <c r="G16" s="3"/>
      <c r="H16" s="16">
        <f>60-54.57</f>
        <v>5.43</v>
      </c>
      <c r="I16" s="16">
        <f>+E16-H16</f>
        <v>15.243056073550456</v>
      </c>
      <c r="J16" s="3"/>
      <c r="N16">
        <v>44.61</v>
      </c>
      <c r="R16">
        <v>650000</v>
      </c>
    </row>
    <row r="17" spans="1:18" ht="17" thickBot="1" x14ac:dyDescent="0.25">
      <c r="A17" s="12">
        <v>8</v>
      </c>
      <c r="B17" s="13" t="s">
        <v>26</v>
      </c>
      <c r="C17" s="19" t="s">
        <v>25</v>
      </c>
      <c r="D17" s="15">
        <v>0.3357</v>
      </c>
      <c r="E17" s="16">
        <f t="shared" si="1"/>
        <v>21.837460427598764</v>
      </c>
      <c r="F17" s="3"/>
      <c r="G17" s="3"/>
      <c r="H17" s="3"/>
      <c r="I17" s="16">
        <f>+E17</f>
        <v>21.837460427598764</v>
      </c>
      <c r="J17" s="16"/>
      <c r="N17">
        <f>+N16-60</f>
        <v>-15.39</v>
      </c>
      <c r="R17">
        <f>+R16-1300000</f>
        <v>-650000</v>
      </c>
    </row>
    <row r="18" spans="1:18" ht="17" thickBot="1" x14ac:dyDescent="0.25">
      <c r="A18" s="12">
        <v>9</v>
      </c>
      <c r="B18" s="13" t="s">
        <v>27</v>
      </c>
      <c r="C18" s="19" t="s">
        <v>25</v>
      </c>
      <c r="D18" s="15">
        <v>0.2712</v>
      </c>
      <c r="E18" s="16">
        <f t="shared" si="1"/>
        <v>17.641701721670493</v>
      </c>
      <c r="F18" s="3"/>
      <c r="G18" s="3"/>
      <c r="H18" s="3"/>
      <c r="I18" s="16">
        <f t="shared" ref="I18:I22" si="2">+E18</f>
        <v>17.641701721670493</v>
      </c>
      <c r="J18" s="16"/>
    </row>
    <row r="19" spans="1:18" ht="17" thickBot="1" x14ac:dyDescent="0.25">
      <c r="A19" s="12">
        <v>10</v>
      </c>
      <c r="B19" s="13" t="s">
        <v>28</v>
      </c>
      <c r="C19" s="19" t="s">
        <v>25</v>
      </c>
      <c r="D19" s="15">
        <v>0.11509999999999999</v>
      </c>
      <c r="E19" s="16">
        <f t="shared" si="1"/>
        <v>7.4873151480983546</v>
      </c>
      <c r="F19" s="3"/>
      <c r="G19" s="3"/>
      <c r="H19" s="3"/>
      <c r="I19" s="16">
        <f t="shared" si="2"/>
        <v>7.4873151480983546</v>
      </c>
      <c r="J19" s="16"/>
    </row>
    <row r="20" spans="1:18" ht="17" thickBot="1" x14ac:dyDescent="0.25">
      <c r="A20" s="12">
        <v>11</v>
      </c>
      <c r="B20" s="13" t="s">
        <v>29</v>
      </c>
      <c r="C20" s="19" t="s">
        <v>25</v>
      </c>
      <c r="D20" s="15">
        <v>7.2099999999999997E-2</v>
      </c>
      <c r="E20" s="16">
        <f t="shared" si="1"/>
        <v>4.6901426774795079</v>
      </c>
      <c r="F20" s="3"/>
      <c r="G20" s="3"/>
      <c r="H20" s="3"/>
      <c r="I20" s="16">
        <f t="shared" si="2"/>
        <v>4.6901426774795079</v>
      </c>
      <c r="J20" s="16"/>
    </row>
    <row r="21" spans="1:18" ht="17" thickBot="1" x14ac:dyDescent="0.25">
      <c r="A21" s="12">
        <v>12</v>
      </c>
      <c r="B21" s="13" t="s">
        <v>30</v>
      </c>
      <c r="C21" s="19" t="s">
        <v>25</v>
      </c>
      <c r="D21" s="15">
        <v>0.1333</v>
      </c>
      <c r="E21" s="16">
        <f t="shared" si="1"/>
        <v>8.6712346589184257</v>
      </c>
      <c r="F21" s="3"/>
      <c r="G21" s="3"/>
      <c r="H21" s="3"/>
      <c r="I21" s="16">
        <f t="shared" si="2"/>
        <v>8.6712346589184257</v>
      </c>
      <c r="J21" s="16"/>
    </row>
    <row r="22" spans="1:18" ht="17" thickBot="1" x14ac:dyDescent="0.25">
      <c r="A22" s="23">
        <v>13</v>
      </c>
      <c r="B22" s="24" t="s">
        <v>31</v>
      </c>
      <c r="C22" s="25" t="s">
        <v>25</v>
      </c>
      <c r="D22" s="26">
        <v>6.0000000000000001E-3</v>
      </c>
      <c r="E22" s="27">
        <f t="shared" si="1"/>
        <v>0.39030313543518791</v>
      </c>
      <c r="F22" s="10"/>
      <c r="G22" s="10"/>
      <c r="H22" s="10"/>
      <c r="I22" s="16">
        <f t="shared" si="2"/>
        <v>0.39030313543518791</v>
      </c>
      <c r="J22" s="27"/>
    </row>
    <row r="23" spans="1:18" x14ac:dyDescent="0.2">
      <c r="A23" s="12"/>
      <c r="B23" s="12"/>
      <c r="C23" s="12"/>
      <c r="D23" s="12"/>
      <c r="E23" s="12"/>
      <c r="F23" s="28"/>
      <c r="G23" s="28"/>
      <c r="H23" s="28"/>
      <c r="I23" s="28"/>
      <c r="J23" s="28"/>
    </row>
    <row r="24" spans="1:18" x14ac:dyDescent="0.2">
      <c r="A24" s="12"/>
      <c r="B24" s="12"/>
      <c r="C24" s="12"/>
      <c r="D24" s="12"/>
      <c r="E24" s="12"/>
      <c r="F24" s="28"/>
      <c r="G24" s="28"/>
      <c r="H24" s="28"/>
      <c r="I24" s="28"/>
      <c r="J24" s="28"/>
    </row>
    <row r="25" spans="1:18" x14ac:dyDescent="0.2">
      <c r="A25" s="12"/>
      <c r="B25" s="12"/>
      <c r="C25" s="12"/>
      <c r="D25" s="12"/>
      <c r="E25" s="12"/>
      <c r="F25" s="28"/>
      <c r="G25" s="28"/>
      <c r="H25" s="28"/>
      <c r="I25" s="28"/>
      <c r="J25" s="28"/>
    </row>
    <row r="26" spans="1:18" x14ac:dyDescent="0.2">
      <c r="A26" s="12"/>
      <c r="B26" s="12"/>
      <c r="C26" s="12"/>
      <c r="D26" s="12"/>
      <c r="E26" s="12"/>
      <c r="F26" s="28"/>
      <c r="G26" s="28"/>
      <c r="H26" s="28"/>
      <c r="I26" s="28"/>
      <c r="J26" s="28"/>
    </row>
    <row r="27" spans="1:18" x14ac:dyDescent="0.2">
      <c r="A27" s="12"/>
      <c r="B27" s="12"/>
      <c r="C27" s="12"/>
      <c r="D27" s="12"/>
      <c r="E27" s="12"/>
      <c r="F27" s="28"/>
      <c r="G27" s="28"/>
      <c r="H27" s="28"/>
      <c r="I27" s="28"/>
      <c r="J27" s="28"/>
    </row>
    <row r="28" spans="1:18" x14ac:dyDescent="0.2">
      <c r="A28" s="12"/>
      <c r="B28" s="12"/>
      <c r="C28" s="12"/>
      <c r="D28" s="12"/>
      <c r="E28" s="12"/>
      <c r="F28" s="28"/>
      <c r="G28" s="28"/>
      <c r="H28" s="28"/>
      <c r="I28" s="28"/>
      <c r="J28" s="28"/>
    </row>
    <row r="29" spans="1:18" x14ac:dyDescent="0.2">
      <c r="A29" s="12"/>
      <c r="B29" s="12"/>
      <c r="C29" s="12"/>
      <c r="D29" s="12"/>
      <c r="E29" s="12"/>
      <c r="F29" s="28"/>
      <c r="G29" s="28"/>
      <c r="H29" s="28"/>
      <c r="I29" s="28"/>
      <c r="J29" s="28"/>
    </row>
    <row r="30" spans="1:18" x14ac:dyDescent="0.2">
      <c r="A30" s="12"/>
      <c r="B30" s="12"/>
      <c r="C30" s="12"/>
      <c r="D30" s="12"/>
      <c r="E30" s="12"/>
      <c r="F30" s="28"/>
      <c r="G30" s="28"/>
      <c r="H30" s="28"/>
      <c r="I30" s="28"/>
      <c r="J30" s="28"/>
    </row>
    <row r="31" spans="1:18" x14ac:dyDescent="0.2">
      <c r="A31" s="12"/>
      <c r="B31" s="12"/>
      <c r="C31" s="12"/>
      <c r="D31" s="12"/>
      <c r="E31" s="12"/>
      <c r="F31" s="28"/>
      <c r="G31" s="28"/>
      <c r="H31" s="28"/>
      <c r="I31" s="28"/>
      <c r="J31" s="28"/>
    </row>
    <row r="32" spans="1:18" x14ac:dyDescent="0.2">
      <c r="F32" s="7"/>
      <c r="G32" s="7"/>
      <c r="H32" s="7"/>
      <c r="I32" s="7"/>
      <c r="J32" s="7"/>
    </row>
    <row r="33" spans="1:10" x14ac:dyDescent="0.2">
      <c r="F33" s="7"/>
      <c r="G33" s="7"/>
      <c r="H33" s="7"/>
      <c r="I33" s="7"/>
      <c r="J33" s="7"/>
    </row>
    <row r="34" spans="1:10" x14ac:dyDescent="0.2">
      <c r="B34" s="30">
        <f>SUM(B37:B42)</f>
        <v>174.88702892579903</v>
      </c>
      <c r="F34" s="7"/>
      <c r="G34" s="7"/>
      <c r="H34" s="7"/>
      <c r="I34" s="7"/>
      <c r="J34" s="7"/>
    </row>
    <row r="35" spans="1:10" x14ac:dyDescent="0.2">
      <c r="A35" s="29" t="s">
        <v>38</v>
      </c>
      <c r="F35" s="7"/>
      <c r="G35" s="7"/>
      <c r="H35" s="7"/>
      <c r="I35" s="7"/>
      <c r="J35" s="7"/>
    </row>
    <row r="36" spans="1:10" ht="16" x14ac:dyDescent="0.2">
      <c r="A36" s="29" t="s">
        <v>11</v>
      </c>
      <c r="B36" t="s">
        <v>39</v>
      </c>
      <c r="C36" s="33" t="s">
        <v>40</v>
      </c>
      <c r="D36" s="33" t="s">
        <v>41</v>
      </c>
      <c r="F36" s="14" t="s">
        <v>32</v>
      </c>
      <c r="G36" s="14" t="s">
        <v>33</v>
      </c>
      <c r="H36" s="14" t="s">
        <v>34</v>
      </c>
      <c r="J36" s="7"/>
    </row>
    <row r="37" spans="1:10" x14ac:dyDescent="0.2">
      <c r="A37" t="s">
        <v>16</v>
      </c>
      <c r="B37" s="30">
        <v>109.6283446810356</v>
      </c>
      <c r="C37">
        <f>+B37/60</f>
        <v>1.8271390780172601</v>
      </c>
      <c r="D37">
        <v>2</v>
      </c>
      <c r="I37" s="20" t="s">
        <v>35</v>
      </c>
      <c r="J37" s="7"/>
    </row>
    <row r="38" spans="1:10" x14ac:dyDescent="0.2">
      <c r="A38" t="s">
        <v>20</v>
      </c>
      <c r="B38" s="30">
        <v>33.264235222689621</v>
      </c>
      <c r="C38">
        <f t="shared" ref="C38:C39" si="3">+B38/60</f>
        <v>0.55440392037816033</v>
      </c>
      <c r="D38">
        <v>1</v>
      </c>
      <c r="I38" s="20"/>
      <c r="J38" s="7"/>
    </row>
    <row r="39" spans="1:10" x14ac:dyDescent="0.2">
      <c r="A39" t="s">
        <v>23</v>
      </c>
      <c r="B39" s="30">
        <v>31.994449022073809</v>
      </c>
      <c r="C39">
        <f t="shared" si="3"/>
        <v>0.5332408170345635</v>
      </c>
      <c r="D39">
        <v>1</v>
      </c>
      <c r="F39" s="58" t="s">
        <v>36</v>
      </c>
      <c r="G39" s="58"/>
      <c r="H39" s="21" t="s">
        <v>37</v>
      </c>
      <c r="J39" s="7"/>
    </row>
    <row r="40" spans="1:10" x14ac:dyDescent="0.2">
      <c r="F40" s="58"/>
      <c r="G40" s="58"/>
    </row>
    <row r="42" spans="1:10" x14ac:dyDescent="0.2">
      <c r="G42" s="32"/>
      <c r="H42" s="32"/>
      <c r="I42" s="32"/>
    </row>
    <row r="43" spans="1:10" x14ac:dyDescent="0.2">
      <c r="B43" s="31"/>
    </row>
    <row r="44" spans="1:10" x14ac:dyDescent="0.2">
      <c r="B44" s="31"/>
    </row>
    <row r="45" spans="1:10" x14ac:dyDescent="0.2">
      <c r="B45" s="22"/>
      <c r="G45" s="59"/>
      <c r="H45" s="59"/>
    </row>
    <row r="46" spans="1:10" x14ac:dyDescent="0.2">
      <c r="B46" s="22"/>
      <c r="G46" s="59"/>
      <c r="H46" s="59"/>
    </row>
    <row r="47" spans="1:10" x14ac:dyDescent="0.2">
      <c r="B47" s="22"/>
    </row>
    <row r="48" spans="1:10" x14ac:dyDescent="0.2">
      <c r="B48" s="22"/>
    </row>
    <row r="49" spans="2:2" x14ac:dyDescent="0.2">
      <c r="B49" s="22"/>
    </row>
  </sheetData>
  <mergeCells count="2">
    <mergeCell ref="G45:H46"/>
    <mergeCell ref="F39:G40"/>
  </mergeCells>
  <pageMargins left="0.70866141732283505" right="0.70866141732283505" top="0.74803149606299202" bottom="0.74803149606299202" header="0.31496062992126" footer="0.31496062992126"/>
  <pageSetup scale="65" orientation="landscape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0A9C-A5AA-5349-813C-4D40B68811FB}">
  <dimension ref="A1:A17"/>
  <sheetViews>
    <sheetView workbookViewId="0">
      <selection sqref="A1:A17"/>
    </sheetView>
  </sheetViews>
  <sheetFormatPr baseColWidth="10" defaultRowHeight="15" x14ac:dyDescent="0.2"/>
  <sheetData>
    <row r="1" spans="1:1" x14ac:dyDescent="0.2">
      <c r="A1" t="s">
        <v>91</v>
      </c>
    </row>
    <row r="3" spans="1:1" x14ac:dyDescent="0.2">
      <c r="A3" t="s">
        <v>92</v>
      </c>
    </row>
    <row r="4" spans="1:1" x14ac:dyDescent="0.2">
      <c r="A4" t="s">
        <v>93</v>
      </c>
    </row>
    <row r="6" spans="1:1" x14ac:dyDescent="0.2">
      <c r="A6" t="s">
        <v>94</v>
      </c>
    </row>
    <row r="7" spans="1:1" x14ac:dyDescent="0.2">
      <c r="A7" t="s">
        <v>95</v>
      </c>
    </row>
    <row r="9" spans="1:1" x14ac:dyDescent="0.2">
      <c r="A9" t="s">
        <v>96</v>
      </c>
    </row>
    <row r="11" spans="1:1" x14ac:dyDescent="0.2">
      <c r="A11" t="s">
        <v>97</v>
      </c>
    </row>
    <row r="13" spans="1:1" x14ac:dyDescent="0.2">
      <c r="A13" t="s">
        <v>98</v>
      </c>
    </row>
    <row r="15" spans="1:1" x14ac:dyDescent="0.2">
      <c r="A15" t="s">
        <v>99</v>
      </c>
    </row>
    <row r="17" spans="1:1" x14ac:dyDescent="0.2">
      <c r="A17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BALANCEO.</vt:lpstr>
      <vt:lpstr>LISTADO PRODUCTOS</vt:lpstr>
      <vt:lpstr>BALANCEO-BORRADOR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 Franco M</dc:creator>
  <cp:lastModifiedBy>Cristian Javier Cano Mogollon</cp:lastModifiedBy>
  <dcterms:created xsi:type="dcterms:W3CDTF">2025-08-27T00:54:49Z</dcterms:created>
  <dcterms:modified xsi:type="dcterms:W3CDTF">2025-10-27T00:09:27Z</dcterms:modified>
</cp:coreProperties>
</file>